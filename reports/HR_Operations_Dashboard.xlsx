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mployee Master" sheetId="2" state="visible" r:id="rId4"/>
    <sheet name="Data Quality" sheetId="3" state="visible" r:id="rId5"/>
    <sheet name="Ticket Tracker" sheetId="4" state="visible" r:id="rId6"/>
  </sheets>
  <definedNames>
    <definedName function="false" hidden="false" localSheetId="0" name="_xlnm.Print_Area" vbProcedure="false">Dashboard!$A$1:$M$40</definedName>
    <definedName function="false" hidden="false" localSheetId="2" name="_xlnm.Print_Area" vbProcedure="false">'Data Quality'!$A$1:$E$12</definedName>
    <definedName function="false" hidden="false" localSheetId="1" name="_xlnm.Print_Area" vbProcedure="false">'Employee Master'!$A$1:$H$21</definedName>
    <definedName function="false" hidden="false" localSheetId="3" name="_xlnm.Print_Area" vbProcedure="false">'Ticket Tracker'!$A$1:$K$11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<sst xmlns="http://schemas.openxmlformats.org/spreadsheetml/2006/main" count="1124" uniqueCount="504">
  <si>
    <t xml:space="preserve">HR Operations Dashboard</t>
  </si>
  <si>
    <t xml:space="preserve">Sample reporting cycle — data reconciled from raw HRIS export | All figures update automatically from Employee Master, Data Quality, and Ticket Tracker sheets</t>
  </si>
  <si>
    <t xml:space="preserve">Total Headcount</t>
  </si>
  <si>
    <t xml:space="preserve">Active Employees</t>
  </si>
  <si>
    <t xml:space="preserve">Terminated Employees</t>
  </si>
  <si>
    <t xml:space="preserve">Attrition Rate</t>
  </si>
  <si>
    <t xml:space="preserve">Headcount by Department</t>
  </si>
  <si>
    <t xml:space="preserve">Department</t>
  </si>
  <si>
    <t xml:space="preserve">Headcount</t>
  </si>
  <si>
    <t xml:space="preserve">Attrition Count</t>
  </si>
  <si>
    <t xml:space="preserve">Attrition %</t>
  </si>
  <si>
    <t xml:space="preserve">HR Operations</t>
  </si>
  <si>
    <t xml:space="preserve">HRIS &amp; Systems</t>
  </si>
  <si>
    <t xml:space="preserve">Mobility</t>
  </si>
  <si>
    <t xml:space="preserve">Payroll</t>
  </si>
  <si>
    <t xml:space="preserve">Talent Acquisition</t>
  </si>
  <si>
    <t xml:space="preserve">Talent Business Advisory</t>
  </si>
  <si>
    <t xml:space="preserve">Talent Development</t>
  </si>
  <si>
    <t xml:space="preserve">Total Rewards</t>
  </si>
  <si>
    <t xml:space="preserve">UNASSIGNED - PENDING MANAGER INPUT</t>
  </si>
  <si>
    <t xml:space="preserve">Performance Rating Distribution</t>
  </si>
  <si>
    <t xml:space="preserve">Rating</t>
  </si>
  <si>
    <t xml:space="preserve">Count</t>
  </si>
  <si>
    <t xml:space="preserve">% of Headcount</t>
  </si>
  <si>
    <t xml:space="preserve">Exceeds Expectations</t>
  </si>
  <si>
    <t xml:space="preserve">Meets Expectations</t>
  </si>
  <si>
    <t xml:space="preserve">Needs Improvement</t>
  </si>
  <si>
    <t xml:space="preserve">Not Yet Rated</t>
  </si>
  <si>
    <t xml:space="preserve">Data Quality Summary</t>
  </si>
  <si>
    <t xml:space="preserve">Metric</t>
  </si>
  <si>
    <t xml:space="preserve">Value</t>
  </si>
  <si>
    <t xml:space="preserve">Total Issues Identified</t>
  </si>
  <si>
    <t xml:space="preserve">Issues Resolved</t>
  </si>
  <si>
    <t xml:space="preserve">Issues Pending</t>
  </si>
  <si>
    <t xml:space="preserve">% Resolved</t>
  </si>
  <si>
    <t xml:space="preserve">Ticket Queue Summary</t>
  </si>
  <si>
    <t xml:space="preserve">Total Tickets</t>
  </si>
  <si>
    <t xml:space="preserve">Closed</t>
  </si>
  <si>
    <t xml:space="preserve">Open</t>
  </si>
  <si>
    <t xml:space="preserve">In Progress</t>
  </si>
  <si>
    <t xml:space="preserve">SLA Compliance (Closed Tickets)</t>
  </si>
  <si>
    <t xml:space="preserve">Employee ID</t>
  </si>
  <si>
    <t xml:space="preserve">Employee Name</t>
  </si>
  <si>
    <t xml:space="preserve">Hire Date</t>
  </si>
  <si>
    <t xml:space="preserve">Status</t>
  </si>
  <si>
    <t xml:space="preserve">Termination Date</t>
  </si>
  <si>
    <t xml:space="preserve">Manager</t>
  </si>
  <si>
    <t xml:space="preserve">Performance Rating</t>
  </si>
  <si>
    <t xml:space="preserve">EMP1007</t>
  </si>
  <si>
    <t xml:space="preserve">Rohan Agarwal</t>
  </si>
  <si>
    <t xml:space="preserve">2023-01-21</t>
  </si>
  <si>
    <t xml:space="preserve">Terminated</t>
  </si>
  <si>
    <t xml:space="preserve">2024-08-16</t>
  </si>
  <si>
    <t xml:space="preserve">S. Krishnan</t>
  </si>
  <si>
    <t xml:space="preserve">EMP1074</t>
  </si>
  <si>
    <t xml:space="preserve">Manoj Bhat</t>
  </si>
  <si>
    <t xml:space="preserve">2024-03-06</t>
  </si>
  <si>
    <t xml:space="preserve">Active</t>
  </si>
  <si>
    <t xml:space="preserve">EMP1054</t>
  </si>
  <si>
    <t xml:space="preserve">Anjali Kapoor</t>
  </si>
  <si>
    <t xml:space="preserve">2024-09-25</t>
  </si>
  <si>
    <t xml:space="preserve">P. Bose</t>
  </si>
  <si>
    <t xml:space="preserve">EMP1003</t>
  </si>
  <si>
    <t xml:space="preserve">Karan Singh</t>
  </si>
  <si>
    <t xml:space="preserve">2025-04-17</t>
  </si>
  <si>
    <t xml:space="preserve">N. Kaur</t>
  </si>
  <si>
    <t xml:space="preserve">EMP1050</t>
  </si>
  <si>
    <t xml:space="preserve">Priya Menon</t>
  </si>
  <si>
    <t xml:space="preserve">2021-03-28</t>
  </si>
  <si>
    <t xml:space="preserve">UNASSIGNED</t>
  </si>
  <si>
    <t xml:space="preserve">EMP1077</t>
  </si>
  <si>
    <t xml:space="preserve">Deepak Sharma</t>
  </si>
  <si>
    <t xml:space="preserve">2021-03-27</t>
  </si>
  <si>
    <t xml:space="preserve">V. Subramaniam</t>
  </si>
  <si>
    <t xml:space="preserve">EMP1018</t>
  </si>
  <si>
    <t xml:space="preserve">Rajesh Reddy</t>
  </si>
  <si>
    <t xml:space="preserve">2024-09-10</t>
  </si>
  <si>
    <t xml:space="preserve">2026-04-20</t>
  </si>
  <si>
    <t xml:space="preserve">R. Malhotra</t>
  </si>
  <si>
    <t xml:space="preserve">EMP1014</t>
  </si>
  <si>
    <t xml:space="preserve">Divya Gupta</t>
  </si>
  <si>
    <t xml:space="preserve">2020-01-08</t>
  </si>
  <si>
    <t xml:space="preserve">EMP1062</t>
  </si>
  <si>
    <t xml:space="preserve">Amit Bhat</t>
  </si>
  <si>
    <t xml:space="preserve">2023-04-22</t>
  </si>
  <si>
    <t xml:space="preserve">EMP1106</t>
  </si>
  <si>
    <t xml:space="preserve">Arjun Pillai</t>
  </si>
  <si>
    <t xml:space="preserve">2023-11-29</t>
  </si>
  <si>
    <t xml:space="preserve">EMP1058</t>
  </si>
  <si>
    <t xml:space="preserve">Ritu Nair</t>
  </si>
  <si>
    <t xml:space="preserve">2023-07-22</t>
  </si>
  <si>
    <t xml:space="preserve">2024-01-18</t>
  </si>
  <si>
    <t xml:space="preserve">EMP1027</t>
  </si>
  <si>
    <t xml:space="preserve">Sneha Bhat</t>
  </si>
  <si>
    <t xml:space="preserve">2023-10-01</t>
  </si>
  <si>
    <t xml:space="preserve">EMP1065</t>
  </si>
  <si>
    <t xml:space="preserve">Deepak Desai</t>
  </si>
  <si>
    <t xml:space="preserve">2025-02-22</t>
  </si>
  <si>
    <t xml:space="preserve">2026-09-15</t>
  </si>
  <si>
    <t xml:space="preserve">A. Fernandes</t>
  </si>
  <si>
    <t xml:space="preserve">EMP1021</t>
  </si>
  <si>
    <t xml:space="preserve">Vikram Menon</t>
  </si>
  <si>
    <t xml:space="preserve">2021-12-21</t>
  </si>
  <si>
    <t xml:space="preserve">2025-11-12</t>
  </si>
  <si>
    <t xml:space="preserve">EMP1052</t>
  </si>
  <si>
    <t xml:space="preserve">Pooja Pillai</t>
  </si>
  <si>
    <t xml:space="preserve">2025-01-05</t>
  </si>
  <si>
    <t xml:space="preserve">EMP1115</t>
  </si>
  <si>
    <t xml:space="preserve">Suresh Nair</t>
  </si>
  <si>
    <t xml:space="preserve">2025-03-06</t>
  </si>
  <si>
    <t xml:space="preserve">EMP1033</t>
  </si>
  <si>
    <t xml:space="preserve">Vikram Iyer</t>
  </si>
  <si>
    <t xml:space="preserve">2021-06-10</t>
  </si>
  <si>
    <t xml:space="preserve">EMP1088</t>
  </si>
  <si>
    <t xml:space="preserve">Rohan Singh</t>
  </si>
  <si>
    <t xml:space="preserve">2024-06-24</t>
  </si>
  <si>
    <t xml:space="preserve">2026-04-27</t>
  </si>
  <si>
    <t xml:space="preserve">EMP1026</t>
  </si>
  <si>
    <t xml:space="preserve">Anjali Kulkarni</t>
  </si>
  <si>
    <t xml:space="preserve">2021-09-22</t>
  </si>
  <si>
    <t xml:space="preserve">EMP1045</t>
  </si>
  <si>
    <t xml:space="preserve">Isha Sharma</t>
  </si>
  <si>
    <t xml:space="preserve">2019-11-05</t>
  </si>
  <si>
    <t xml:space="preserve">EMP1064</t>
  </si>
  <si>
    <t xml:space="preserve">Priya Agarwal</t>
  </si>
  <si>
    <t xml:space="preserve">2020-05-12</t>
  </si>
  <si>
    <t xml:space="preserve">2026-09-14</t>
  </si>
  <si>
    <t xml:space="preserve">EMP1066</t>
  </si>
  <si>
    <t xml:space="preserve">Arjun Singh</t>
  </si>
  <si>
    <t xml:space="preserve">2024-11-05</t>
  </si>
  <si>
    <t xml:space="preserve">EMP1116</t>
  </si>
  <si>
    <t xml:space="preserve">Divya Reddy</t>
  </si>
  <si>
    <t xml:space="preserve">2020-04-26</t>
  </si>
  <si>
    <t xml:space="preserve">EMP1114</t>
  </si>
  <si>
    <t xml:space="preserve">Meera Desai</t>
  </si>
  <si>
    <t xml:space="preserve">EMP1071</t>
  </si>
  <si>
    <t xml:space="preserve">Meera Chatterjee</t>
  </si>
  <si>
    <t xml:space="preserve">2025-01-13</t>
  </si>
  <si>
    <t xml:space="preserve">EMP1098</t>
  </si>
  <si>
    <t xml:space="preserve">Vikram Kulkarni</t>
  </si>
  <si>
    <t xml:space="preserve">2019-12-15</t>
  </si>
  <si>
    <t xml:space="preserve">EMP1073</t>
  </si>
  <si>
    <t xml:space="preserve">Amit Gupta</t>
  </si>
  <si>
    <t xml:space="preserve">2023-06-02</t>
  </si>
  <si>
    <t xml:space="preserve">EMP1076</t>
  </si>
  <si>
    <t xml:space="preserve">UNKNOWN - PENDING HR CONFIRMATION</t>
  </si>
  <si>
    <t xml:space="preserve">2019-03-21</t>
  </si>
  <si>
    <t xml:space="preserve">2020-01-01</t>
  </si>
  <si>
    <t xml:space="preserve">EMP1060</t>
  </si>
  <si>
    <t xml:space="preserve">Anjali Nair</t>
  </si>
  <si>
    <t xml:space="preserve">2022-03-08</t>
  </si>
  <si>
    <t xml:space="preserve">2026-03-23</t>
  </si>
  <si>
    <t xml:space="preserve">EMP1036</t>
  </si>
  <si>
    <t xml:space="preserve">Vivek Chandra</t>
  </si>
  <si>
    <t xml:space="preserve">2019-12-02</t>
  </si>
  <si>
    <t xml:space="preserve">EMP1055</t>
  </si>
  <si>
    <t xml:space="preserve">Arjun Verma</t>
  </si>
  <si>
    <t xml:space="preserve">2019-01-07</t>
  </si>
  <si>
    <t xml:space="preserve">2022-07-12</t>
  </si>
  <si>
    <t xml:space="preserve">EMP1103</t>
  </si>
  <si>
    <t xml:space="preserve">Meera Mehta</t>
  </si>
  <si>
    <t xml:space="preserve">2019-10-19</t>
  </si>
  <si>
    <t xml:space="preserve">EMP1085</t>
  </si>
  <si>
    <t xml:space="preserve">Rahul Singh</t>
  </si>
  <si>
    <t xml:space="preserve">2022-02-16</t>
  </si>
  <si>
    <t xml:space="preserve">EMP1079</t>
  </si>
  <si>
    <t xml:space="preserve">Ananya Chandra</t>
  </si>
  <si>
    <t xml:space="preserve">2020-11-01</t>
  </si>
  <si>
    <t xml:space="preserve">EMP1047</t>
  </si>
  <si>
    <t xml:space="preserve">Priya Joshi</t>
  </si>
  <si>
    <t xml:space="preserve">2021-10-19</t>
  </si>
  <si>
    <t xml:space="preserve">EMP1028</t>
  </si>
  <si>
    <t xml:space="preserve">Priya Chatterjee</t>
  </si>
  <si>
    <t xml:space="preserve">2020-03-23</t>
  </si>
  <si>
    <t xml:space="preserve">EMP1110</t>
  </si>
  <si>
    <t xml:space="preserve">Rahul Kapoor</t>
  </si>
  <si>
    <t xml:space="preserve">2020-10-20</t>
  </si>
  <si>
    <t xml:space="preserve">EMP1023</t>
  </si>
  <si>
    <t xml:space="preserve">Divya Singh</t>
  </si>
  <si>
    <t xml:space="preserve">2022-10-16</t>
  </si>
  <si>
    <t xml:space="preserve">EMP1029</t>
  </si>
  <si>
    <t xml:space="preserve">Vikram Bhat</t>
  </si>
  <si>
    <t xml:space="preserve">2022-02-14</t>
  </si>
  <si>
    <t xml:space="preserve">EMP1090</t>
  </si>
  <si>
    <t xml:space="preserve">Ritu Kulkarni</t>
  </si>
  <si>
    <t xml:space="preserve">2024-04-22</t>
  </si>
  <si>
    <t xml:space="preserve">EMP1100</t>
  </si>
  <si>
    <t xml:space="preserve">Vivek Bhat</t>
  </si>
  <si>
    <t xml:space="preserve">2025-05-18</t>
  </si>
  <si>
    <t xml:space="preserve">2026-03-17</t>
  </si>
  <si>
    <t xml:space="preserve">EMP1035</t>
  </si>
  <si>
    <t xml:space="preserve">Ananya Patel</t>
  </si>
  <si>
    <t xml:space="preserve">2021-08-21</t>
  </si>
  <si>
    <t xml:space="preserve">EMP1118</t>
  </si>
  <si>
    <t xml:space="preserve">Karan Chandra</t>
  </si>
  <si>
    <t xml:space="preserve">2019-10-13</t>
  </si>
  <si>
    <t xml:space="preserve">EMP1091</t>
  </si>
  <si>
    <t xml:space="preserve">Pooja Desai</t>
  </si>
  <si>
    <t xml:space="preserve">2022-06-09</t>
  </si>
  <si>
    <t xml:space="preserve">EMP1001</t>
  </si>
  <si>
    <t xml:space="preserve">Manoj Reddy</t>
  </si>
  <si>
    <t xml:space="preserve">2022-01-31</t>
  </si>
  <si>
    <t xml:space="preserve">EMP1099</t>
  </si>
  <si>
    <t xml:space="preserve">Shreya Chandra</t>
  </si>
  <si>
    <t xml:space="preserve">2024-11-10</t>
  </si>
  <si>
    <t xml:space="preserve">EMP1096</t>
  </si>
  <si>
    <t xml:space="preserve">Kavya Menon</t>
  </si>
  <si>
    <t xml:space="preserve">2022-10-27</t>
  </si>
  <si>
    <t xml:space="preserve">EMP1102</t>
  </si>
  <si>
    <t xml:space="preserve">Aarav Bhat</t>
  </si>
  <si>
    <t xml:space="preserve">2025-08-29</t>
  </si>
  <si>
    <t xml:space="preserve">EMP1017</t>
  </si>
  <si>
    <t xml:space="preserve">Meera Bhat</t>
  </si>
  <si>
    <t xml:space="preserve">2024-02-02</t>
  </si>
  <si>
    <t xml:space="preserve">EMP1095</t>
  </si>
  <si>
    <t xml:space="preserve">Isha Mehta</t>
  </si>
  <si>
    <t xml:space="preserve">2024-07-03</t>
  </si>
  <si>
    <t xml:space="preserve">EMP1107</t>
  </si>
  <si>
    <t xml:space="preserve">2019-04-16</t>
  </si>
  <si>
    <t xml:space="preserve">EMP1015</t>
  </si>
  <si>
    <t xml:space="preserve">Ritu Bhat</t>
  </si>
  <si>
    <t xml:space="preserve">2023-04-26</t>
  </si>
  <si>
    <t xml:space="preserve">EMP1030</t>
  </si>
  <si>
    <t xml:space="preserve">Isha Reddy</t>
  </si>
  <si>
    <t xml:space="preserve">2025-01-23</t>
  </si>
  <si>
    <t xml:space="preserve">EMP1072</t>
  </si>
  <si>
    <t xml:space="preserve">Arjun Bhat</t>
  </si>
  <si>
    <t xml:space="preserve">2019-04-29</t>
  </si>
  <si>
    <t xml:space="preserve">EMP1067</t>
  </si>
  <si>
    <t xml:space="preserve">Amit Patel</t>
  </si>
  <si>
    <t xml:space="preserve">2021-08-18</t>
  </si>
  <si>
    <t xml:space="preserve">EMP1016</t>
  </si>
  <si>
    <t xml:space="preserve">2025-01-08</t>
  </si>
  <si>
    <t xml:space="preserve">EMP1105</t>
  </si>
  <si>
    <t xml:space="preserve">Ananya Mehta</t>
  </si>
  <si>
    <t xml:space="preserve">2023-12-04</t>
  </si>
  <si>
    <t xml:space="preserve">EMP1108</t>
  </si>
  <si>
    <t xml:space="preserve">Deepak Rao</t>
  </si>
  <si>
    <t xml:space="preserve">2020-12-18</t>
  </si>
  <si>
    <t xml:space="preserve">EMP1025</t>
  </si>
  <si>
    <t xml:space="preserve">Rahul Patel</t>
  </si>
  <si>
    <t xml:space="preserve">EMP1097</t>
  </si>
  <si>
    <t xml:space="preserve">Sneha Patel</t>
  </si>
  <si>
    <t xml:space="preserve">2024-07-07</t>
  </si>
  <si>
    <t xml:space="preserve">EMP1040</t>
  </si>
  <si>
    <t xml:space="preserve">Divya Joshi</t>
  </si>
  <si>
    <t xml:space="preserve">2020-10-08</t>
  </si>
  <si>
    <t xml:space="preserve">EMP1075</t>
  </si>
  <si>
    <t xml:space="preserve">Rahul Iyer</t>
  </si>
  <si>
    <t xml:space="preserve">2022-08-31</t>
  </si>
  <si>
    <t xml:space="preserve">EMP1083</t>
  </si>
  <si>
    <t xml:space="preserve">2024-02-27</t>
  </si>
  <si>
    <t xml:space="preserve">EMP1078</t>
  </si>
  <si>
    <t xml:space="preserve">2025-04-29</t>
  </si>
  <si>
    <t xml:space="preserve">EMP1024</t>
  </si>
  <si>
    <t xml:space="preserve">Vivek Singh</t>
  </si>
  <si>
    <t xml:space="preserve">2019-10-18</t>
  </si>
  <si>
    <t xml:space="preserve">EMP1032</t>
  </si>
  <si>
    <t xml:space="preserve">Aarav Chatterjee</t>
  </si>
  <si>
    <t xml:space="preserve">2024-02-07</t>
  </si>
  <si>
    <t xml:space="preserve">EMP1113</t>
  </si>
  <si>
    <t xml:space="preserve">Rajesh Joshi</t>
  </si>
  <si>
    <t xml:space="preserve">2023-12-16</t>
  </si>
  <si>
    <t xml:space="preserve">EMP1082</t>
  </si>
  <si>
    <t xml:space="preserve">Ritu Joshi</t>
  </si>
  <si>
    <t xml:space="preserve">2024-09-03</t>
  </si>
  <si>
    <t xml:space="preserve">EMP1048</t>
  </si>
  <si>
    <t xml:space="preserve">Shreya Gupta</t>
  </si>
  <si>
    <t xml:space="preserve">2020-10-27</t>
  </si>
  <si>
    <t xml:space="preserve">EMP1046</t>
  </si>
  <si>
    <t xml:space="preserve">Vivek Agarwal</t>
  </si>
  <si>
    <t xml:space="preserve">2023-10-27</t>
  </si>
  <si>
    <t xml:space="preserve">EMP1038</t>
  </si>
  <si>
    <t xml:space="preserve">Amit Kapoor</t>
  </si>
  <si>
    <t xml:space="preserve">2019-02-08</t>
  </si>
  <si>
    <t xml:space="preserve">EMP1008</t>
  </si>
  <si>
    <t xml:space="preserve">2023-04-06</t>
  </si>
  <si>
    <t xml:space="preserve">EMP1042</t>
  </si>
  <si>
    <t xml:space="preserve">Anjali Agarwal</t>
  </si>
  <si>
    <t xml:space="preserve">2022-01-20</t>
  </si>
  <si>
    <t xml:space="preserve">EMP1006</t>
  </si>
  <si>
    <t xml:space="preserve">Pooja Joshi</t>
  </si>
  <si>
    <t xml:space="preserve">2019-06-27</t>
  </si>
  <si>
    <t xml:space="preserve">EMP1004</t>
  </si>
  <si>
    <t xml:space="preserve">Divya Desai</t>
  </si>
  <si>
    <t xml:space="preserve">2019-01-27</t>
  </si>
  <si>
    <t xml:space="preserve">EMP1039</t>
  </si>
  <si>
    <t xml:space="preserve">EMP1022</t>
  </si>
  <si>
    <t xml:space="preserve">Suresh Mehta</t>
  </si>
  <si>
    <t xml:space="preserve">2023-03-10</t>
  </si>
  <si>
    <t xml:space="preserve">EMP1120</t>
  </si>
  <si>
    <t xml:space="preserve">Pooja Kapoor</t>
  </si>
  <si>
    <t xml:space="preserve">2024-02-09</t>
  </si>
  <si>
    <t xml:space="preserve">EMP1086</t>
  </si>
  <si>
    <t xml:space="preserve">Rahul Sharma</t>
  </si>
  <si>
    <t xml:space="preserve">2022-08-24</t>
  </si>
  <si>
    <t xml:space="preserve">EMP1119</t>
  </si>
  <si>
    <t xml:space="preserve">Aarav Mehta</t>
  </si>
  <si>
    <t xml:space="preserve">2025-08-01</t>
  </si>
  <si>
    <t xml:space="preserve">EMP1056</t>
  </si>
  <si>
    <t xml:space="preserve">Ritu Kapoor</t>
  </si>
  <si>
    <t xml:space="preserve">2020-05-25</t>
  </si>
  <si>
    <t xml:space="preserve">EMP1012</t>
  </si>
  <si>
    <t xml:space="preserve">Manoj Menon</t>
  </si>
  <si>
    <t xml:space="preserve">2024-02-23</t>
  </si>
  <si>
    <t xml:space="preserve">EMP1037</t>
  </si>
  <si>
    <t xml:space="preserve">Arjun Iyer</t>
  </si>
  <si>
    <t xml:space="preserve">2021-09-04</t>
  </si>
  <si>
    <t xml:space="preserve">EMP1094</t>
  </si>
  <si>
    <t xml:space="preserve">2024-12-27</t>
  </si>
  <si>
    <t xml:space="preserve">EMP1031</t>
  </si>
  <si>
    <t xml:space="preserve">Neha Menon</t>
  </si>
  <si>
    <t xml:space="preserve">2021-05-25</t>
  </si>
  <si>
    <t xml:space="preserve">EMP1009</t>
  </si>
  <si>
    <t xml:space="preserve">2021-12-29</t>
  </si>
  <si>
    <t xml:space="preserve">EMP1104</t>
  </si>
  <si>
    <t xml:space="preserve">Neha Reddy</t>
  </si>
  <si>
    <t xml:space="preserve">2020-09-02</t>
  </si>
  <si>
    <t xml:space="preserve">EMP1005</t>
  </si>
  <si>
    <t xml:space="preserve">Arjun Gupta</t>
  </si>
  <si>
    <t xml:space="preserve">2022-10-10</t>
  </si>
  <si>
    <t xml:space="preserve">2024-05-09</t>
  </si>
  <si>
    <t xml:space="preserve">EMP1070</t>
  </si>
  <si>
    <t xml:space="preserve">Neha Chatterjee</t>
  </si>
  <si>
    <t xml:space="preserve">2025-06-16</t>
  </si>
  <si>
    <t xml:space="preserve">EMP1063</t>
  </si>
  <si>
    <t xml:space="preserve">Manoj Sharma</t>
  </si>
  <si>
    <t xml:space="preserve">2023-10-08</t>
  </si>
  <si>
    <t xml:space="preserve">EMP1092</t>
  </si>
  <si>
    <t xml:space="preserve">Rahul Reddy</t>
  </si>
  <si>
    <t xml:space="preserve">2021-02-23</t>
  </si>
  <si>
    <t xml:space="preserve">EMP1081</t>
  </si>
  <si>
    <t xml:space="preserve">Sneha Mehta</t>
  </si>
  <si>
    <t xml:space="preserve">2025-05-07</t>
  </si>
  <si>
    <t xml:space="preserve">EMP1041</t>
  </si>
  <si>
    <t xml:space="preserve">Ritu Agarwal</t>
  </si>
  <si>
    <t xml:space="preserve">2020-02-29</t>
  </si>
  <si>
    <t xml:space="preserve">EMP1049</t>
  </si>
  <si>
    <t xml:space="preserve">2021-10-13</t>
  </si>
  <si>
    <t xml:space="preserve">EMP1069</t>
  </si>
  <si>
    <t xml:space="preserve">Neha Bhat</t>
  </si>
  <si>
    <t xml:space="preserve">2025-01-31</t>
  </si>
  <si>
    <t xml:space="preserve">EMP1087</t>
  </si>
  <si>
    <t xml:space="preserve">Arjun Kapoor</t>
  </si>
  <si>
    <t xml:space="preserve">2025-09-07</t>
  </si>
  <si>
    <t xml:space="preserve">EMP1043</t>
  </si>
  <si>
    <t xml:space="preserve">2021-10-25</t>
  </si>
  <si>
    <t xml:space="preserve">EMP1011</t>
  </si>
  <si>
    <t xml:space="preserve">Rahul Chatterjee</t>
  </si>
  <si>
    <t xml:space="preserve">2019-09-29</t>
  </si>
  <si>
    <t xml:space="preserve">EMP1111</t>
  </si>
  <si>
    <t xml:space="preserve">Ritu Chatterjee</t>
  </si>
  <si>
    <t xml:space="preserve">2024-02-06</t>
  </si>
  <si>
    <t xml:space="preserve">EMP1051</t>
  </si>
  <si>
    <t xml:space="preserve">Divya Sharma</t>
  </si>
  <si>
    <t xml:space="preserve">2023-06-21</t>
  </si>
  <si>
    <t xml:space="preserve">EMP1089</t>
  </si>
  <si>
    <t xml:space="preserve">Aarav Patel</t>
  </si>
  <si>
    <t xml:space="preserve">2021-06-26</t>
  </si>
  <si>
    <t xml:space="preserve">EMP1080</t>
  </si>
  <si>
    <t xml:space="preserve">Meera Kulkarni</t>
  </si>
  <si>
    <t xml:space="preserve">2023-06-13</t>
  </si>
  <si>
    <t xml:space="preserve">EMP1044</t>
  </si>
  <si>
    <t xml:space="preserve">Priya Sharma</t>
  </si>
  <si>
    <t xml:space="preserve">2020-06-19</t>
  </si>
  <si>
    <t xml:space="preserve">EMP1034</t>
  </si>
  <si>
    <t xml:space="preserve">2019-07-25</t>
  </si>
  <si>
    <t xml:space="preserve">2022-09-23</t>
  </si>
  <si>
    <t xml:space="preserve">EMP1101</t>
  </si>
  <si>
    <t xml:space="preserve">Ritu Patel</t>
  </si>
  <si>
    <t xml:space="preserve">2021-09-09</t>
  </si>
  <si>
    <t xml:space="preserve">EMP1061</t>
  </si>
  <si>
    <t xml:space="preserve">Divya Iyer</t>
  </si>
  <si>
    <t xml:space="preserve">2019-04-11</t>
  </si>
  <si>
    <t xml:space="preserve">EMP1010</t>
  </si>
  <si>
    <t xml:space="preserve">Ananya Desai</t>
  </si>
  <si>
    <t xml:space="preserve">2022-01-10</t>
  </si>
  <si>
    <t xml:space="preserve">EMP1020</t>
  </si>
  <si>
    <t xml:space="preserve">Priya Singh</t>
  </si>
  <si>
    <t xml:space="preserve">2019-12-17</t>
  </si>
  <si>
    <t xml:space="preserve">EMP1084</t>
  </si>
  <si>
    <t xml:space="preserve">Shreya Agarwal</t>
  </si>
  <si>
    <t xml:space="preserve">2024-03-19</t>
  </si>
  <si>
    <t xml:space="preserve">EMP1053</t>
  </si>
  <si>
    <t xml:space="preserve">Ananya Kulkarni</t>
  </si>
  <si>
    <t xml:space="preserve">2019-06-06</t>
  </si>
  <si>
    <t xml:space="preserve">EMP1019</t>
  </si>
  <si>
    <t xml:space="preserve">Shreya Kapoor</t>
  </si>
  <si>
    <t xml:space="preserve">EMP1093</t>
  </si>
  <si>
    <t xml:space="preserve">2020-02-16</t>
  </si>
  <si>
    <t xml:space="preserve">EMP1002</t>
  </si>
  <si>
    <t xml:space="preserve">2025-08-15</t>
  </si>
  <si>
    <t xml:space="preserve">EMP1059</t>
  </si>
  <si>
    <t xml:space="preserve">EMP1117</t>
  </si>
  <si>
    <t xml:space="preserve">2021-09-25</t>
  </si>
  <si>
    <t xml:space="preserve">EMP1068</t>
  </si>
  <si>
    <t xml:space="preserve">Vikram Gupta</t>
  </si>
  <si>
    <t xml:space="preserve">2023-04-18</t>
  </si>
  <si>
    <t xml:space="preserve">EMP1057</t>
  </si>
  <si>
    <t xml:space="preserve">2025-03-20</t>
  </si>
  <si>
    <t xml:space="preserve">EMP1109</t>
  </si>
  <si>
    <t xml:space="preserve">EMP1013</t>
  </si>
  <si>
    <t xml:space="preserve">2025-07-22</t>
  </si>
  <si>
    <t xml:space="preserve">EMP1112</t>
  </si>
  <si>
    <t xml:space="preserve">Sneha Chatterjee</t>
  </si>
  <si>
    <t xml:space="preserve">Issue Type</t>
  </si>
  <si>
    <t xml:space="preserve">Issue Description</t>
  </si>
  <si>
    <t xml:space="preserve">Action Taken</t>
  </si>
  <si>
    <t xml:space="preserve">Missing Manager</t>
  </si>
  <si>
    <t xml:space="preserve">Manager field blank in raw export</t>
  </si>
  <si>
    <t xml:space="preserve">Flagged as UNASSIGNED; queued for HRBP follow-up</t>
  </si>
  <si>
    <t xml:space="preserve">Pending</t>
  </si>
  <si>
    <t xml:space="preserve">Terminated - No Termination Date</t>
  </si>
  <si>
    <t xml:space="preserve">Status is Terminated but Termination Date is blank</t>
  </si>
  <si>
    <t xml:space="preserve">Flagged for payroll/offboarding team confirmation before next report cycle</t>
  </si>
  <si>
    <t xml:space="preserve">Status Contradiction</t>
  </si>
  <si>
    <t xml:space="preserve">Status is Active but a Termination Date is present</t>
  </si>
  <si>
    <t xml:space="preserve">Corrected Status to Terminated using Termination Date as source of truth (data precedence rule)</t>
  </si>
  <si>
    <t xml:space="preserve">Resolved</t>
  </si>
  <si>
    <t xml:space="preserve">Missing Employee Name</t>
  </si>
  <si>
    <t xml:space="preserve">Name field blank in raw export</t>
  </si>
  <si>
    <t xml:space="preserve">Flagged as UNKNOWN - PENDING HR CONFIRMATION; routed to source system owner</t>
  </si>
  <si>
    <t xml:space="preserve">Duplicate Employee ID</t>
  </si>
  <si>
    <t xml:space="preserve">Employee ID EMP1110 appears 2 times in raw export</t>
  </si>
  <si>
    <t xml:space="preserve">Retained most complete record per SOP; removed duplicate row(s)</t>
  </si>
  <si>
    <t xml:space="preserve">Employee ID EMP1100 appears 2 times in raw export</t>
  </si>
  <si>
    <t xml:space="preserve">Missing Department</t>
  </si>
  <si>
    <t xml:space="preserve">Department field blank in raw export</t>
  </si>
  <si>
    <t xml:space="preserve">Flagged as UNASSIGNED - PENDING MANAGER INPUT; escalated to reporting manager</t>
  </si>
  <si>
    <t xml:space="preserve">Employee ID EMP1030 appears 2 times in raw export</t>
  </si>
  <si>
    <t xml:space="preserve">Employee ID EMP1053 appears 2 times in raw export</t>
  </si>
  <si>
    <t xml:space="preserve">Ticket ID</t>
  </si>
  <si>
    <t xml:space="preserve">Date Opened</t>
  </si>
  <si>
    <t xml:space="preserve">Requestor</t>
  </si>
  <si>
    <t xml:space="preserve">Category</t>
  </si>
  <si>
    <t xml:space="preserve">Description</t>
  </si>
  <si>
    <t xml:space="preserve">Priority</t>
  </si>
  <si>
    <t xml:space="preserve">Resolution Notes</t>
  </si>
  <si>
    <t xml:space="preserve">Date Closed</t>
  </si>
  <si>
    <t xml:space="preserve">SLA (Days)</t>
  </si>
  <si>
    <t xml:space="preserve">SLA Met (&lt;=3 Days)</t>
  </si>
  <si>
    <t xml:space="preserve">TCK-1001</t>
  </si>
  <si>
    <t xml:space="preserve">2026-08-03</t>
  </si>
  <si>
    <t xml:space="preserve">HRBP - Mehta</t>
  </si>
  <si>
    <t xml:space="preserve">Data Correction</t>
  </si>
  <si>
    <t xml:space="preserve">Update department for EMP1042 from blank to Talent Acquisition</t>
  </si>
  <si>
    <t xml:space="preserve">Medium</t>
  </si>
  <si>
    <t xml:space="preserve">Confirmed via transfer email; simulated HRIS update to Talent Acquisition</t>
  </si>
  <si>
    <t xml:space="preserve">2026-08-04</t>
  </si>
  <si>
    <t xml:space="preserve">TCK-1002</t>
  </si>
  <si>
    <t xml:space="preserve">2026-08-05</t>
  </si>
  <si>
    <t xml:space="preserve">Employee Self-Service</t>
  </si>
  <si>
    <t xml:space="preserve">Employee name shows blank in system after recent name change</t>
  </si>
  <si>
    <t xml:space="preserve">High</t>
  </si>
  <si>
    <t xml:space="preserve">Verified via HR file; simulated correction of name field in HRIS record</t>
  </si>
  <si>
    <t xml:space="preserve">TCK-1003</t>
  </si>
  <si>
    <t xml:space="preserve">2026-08-06</t>
  </si>
  <si>
    <t xml:space="preserve">Payroll Team</t>
  </si>
  <si>
    <t xml:space="preserve">Escalation</t>
  </si>
  <si>
    <t xml:space="preserve">Employee status shows Active but has a termination date on file</t>
  </si>
  <si>
    <t xml:space="preserve">Applied data precedence rule, simulated status update to Terminated, notified payroll</t>
  </si>
  <si>
    <t xml:space="preserve">2026-08-07</t>
  </si>
  <si>
    <t xml:space="preserve">TCK-1004</t>
  </si>
  <si>
    <t xml:space="preserve">2026-08-10</t>
  </si>
  <si>
    <t xml:space="preserve">HRBP - Rao</t>
  </si>
  <si>
    <t xml:space="preserve">Reporting Request</t>
  </si>
  <si>
    <t xml:space="preserve">Ad hoc attrition report needed for Q3 board deck</t>
  </si>
  <si>
    <t xml:space="preserve">Delivered attrition-by-department report same week</t>
  </si>
  <si>
    <t xml:space="preserve">2026-08-12</t>
  </si>
  <si>
    <t xml:space="preserve">TCK-1005</t>
  </si>
  <si>
    <t xml:space="preserve">2026-08-11</t>
  </si>
  <si>
    <t xml:space="preserve">HRIS Systems Team</t>
  </si>
  <si>
    <t xml:space="preserve">Data Migration</t>
  </si>
  <si>
    <t xml:space="preserve">Validate 120 records post system migration for duplicates</t>
  </si>
  <si>
    <t xml:space="preserve">Found and resolved 4 duplicate IDs in simulated dataset; see audit findings log</t>
  </si>
  <si>
    <t xml:space="preserve">2026-08-13</t>
  </si>
  <si>
    <t xml:space="preserve">TCK-1006</t>
  </si>
  <si>
    <t xml:space="preserve">2026-08-14</t>
  </si>
  <si>
    <t xml:space="preserve">Manager - S. Krishnan</t>
  </si>
  <si>
    <t xml:space="preserve">Manager field is blank for a direct report</t>
  </si>
  <si>
    <t xml:space="preserve">Low</t>
  </si>
  <si>
    <t xml:space="preserve">Simulated HRIS update to manager field per org chart confirmation</t>
  </si>
  <si>
    <t xml:space="preserve">2026-08-15</t>
  </si>
  <si>
    <t xml:space="preserve">TCK-1007</t>
  </si>
  <si>
    <t xml:space="preserve">2026-08-18</t>
  </si>
  <si>
    <t xml:space="preserve">HRBP - Iyer</t>
  </si>
  <si>
    <t xml:space="preserve">Monthly headcount report request for Total Rewards dept</t>
  </si>
  <si>
    <t xml:space="preserve">Delivered per standard monthly SOP</t>
  </si>
  <si>
    <t xml:space="preserve">2026-08-19</t>
  </si>
  <si>
    <t xml:space="preserve">TCK-1008</t>
  </si>
  <si>
    <t xml:space="preserve">2026-08-20</t>
  </si>
  <si>
    <t xml:space="preserve">Termination date missing for an employee marked Terminated</t>
  </si>
  <si>
    <t xml:space="preserve">Awaiting confirmation from offboarding team</t>
  </si>
  <si>
    <t xml:space="preserve">TCK-1009</t>
  </si>
  <si>
    <t xml:space="preserve">2026-08-22</t>
  </si>
  <si>
    <t xml:space="preserve">System Testing</t>
  </si>
  <si>
    <t xml:space="preserve">UAT support needed for new HRIS field mapping</t>
  </si>
  <si>
    <t xml:space="preserve">Testing in progress on simulated dataset; 2 of 5 test cases completed</t>
  </si>
  <si>
    <t xml:space="preserve">TCK-1010</t>
  </si>
  <si>
    <t xml:space="preserve">2026-08-25</t>
  </si>
  <si>
    <t xml:space="preserve">HRBP - Bose</t>
  </si>
  <si>
    <t xml:space="preserve">Duplicate employee ID identified during onboarding</t>
  </si>
  <si>
    <t xml:space="preserve">Simulated merge of duplicate records; retained most complete record</t>
  </si>
  <si>
    <t xml:space="preserve">2026-08-26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</si>
</sst>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Dashboard!$A$10:$A$18</c:f>
              <c:strCache>
                <c:ptCount val="9"/>
                <c:pt idx="0">
                  <c:v>HR Operations</c:v>
                </c:pt>
                <c:pt idx="1">
                  <c:v>HRIS &amp; Systems</c:v>
                </c:pt>
                <c:pt idx="2">
                  <c:v>Mobility</c:v>
                </c:pt>
                <c:pt idx="3">
                  <c:v>Payroll</c:v>
                </c:pt>
                <c:pt idx="4">
                  <c:v>Talent Acquisition</c:v>
                </c:pt>
                <c:pt idx="5">
                  <c:v>Talent Business Advisory</c:v>
                </c:pt>
                <c:pt idx="6">
                  <c:v>Talent Development</c:v>
                </c:pt>
                <c:pt idx="7">
                  <c:v>Total Rewards</c:v>
                </c:pt>
                <c:pt idx="8">
                  <c:v>UNASSIGNED - PENDING MANAGER INPUT</c:v>
                </c:pt>
              </c:strCache>
            </c:strRef>
          </c:cat>
          <c:val>
            <c:numRef>
              <c:f>Dashboard!$B$10:$B$18</c:f>
              <c:numCache>
                <c:formatCode>General</c:formatCode>
                <c:ptCount val="9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9</c:v>
                </c:pt>
                <c:pt idx="6">
                  <c:v>14</c:v>
                </c:pt>
                <c:pt idx="7">
                  <c:v>22</c:v>
                </c:pt>
                <c:pt idx="8">
                  <c:v>6</c:v>
                </c:pt>
              </c:numCache>
            </c:numRef>
          </c:val>
        </c:ser>
        <c:gapWidth val="150"/>
        <c:overlap val="0"/>
        <c:axId val="72041444"/>
        <c:axId val="16805240"/>
      </c:barChart>
      <c:catAx>
        <c:axId val="720414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05240"/>
        <c:crosses val="autoZero"/>
        <c:auto val="1"/>
        <c:lblAlgn val="ctr"/>
        <c:lblOffset val="100"/>
        <c:noMultiLvlLbl val="0"/>
      </c:catAx>
      <c:valAx>
        <c:axId val="16805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414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Dashboard!$A$22:$A$25</c:f>
              <c:strCache>
                <c:ptCount val="4"/>
                <c:pt idx="0">
                  <c:v>Exceeds Expectations</c:v>
                </c:pt>
                <c:pt idx="1">
                  <c:v>Meets Expectations</c:v>
                </c:pt>
                <c:pt idx="2">
                  <c:v>Needs Improvement</c:v>
                </c:pt>
                <c:pt idx="3">
                  <c:v>Not Yet Rated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24</c:v>
                </c:pt>
                <c:pt idx="1">
                  <c:v>48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Dashboard!$A$36:$A$39</c:f>
              <c:strCache>
                <c:ptCount val="4"/>
                <c:pt idx="0">
                  <c:v>Total Tickets</c:v>
                </c:pt>
                <c:pt idx="1">
                  <c:v>Closed</c:v>
                </c:pt>
                <c:pt idx="2">
                  <c:v>Open</c:v>
                </c:pt>
                <c:pt idx="3">
                  <c:v>In Progress</c:v>
                </c:pt>
              </c:strCache>
            </c:strRef>
          </c:cat>
          <c:val>
            <c:numRef>
              <c:f>Dashboard!$B$36:$B$39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58433302"/>
        <c:axId val="74682994"/>
      </c:barChart>
      <c:catAx>
        <c:axId val="58433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82994"/>
        <c:crosses val="autoZero"/>
        <c:auto val="1"/>
        <c:lblAlgn val="ctr"/>
        <c:lblOffset val="100"/>
        <c:noMultiLvlLbl val="0"/>
      </c:catAx>
      <c:valAx>
        <c:axId val="74682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33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131040</xdr:rowOff>
    </xdr:from>
    <xdr:to>
      <xdr:col>12</xdr:col>
      <xdr:colOff>353160</xdr:colOff>
      <xdr:row>21</xdr:row>
      <xdr:rowOff>153000</xdr:rowOff>
    </xdr:to>
    <xdr:graphicFrame>
      <xdr:nvGraphicFramePr>
        <xdr:cNvPr id="0" name="Chart 1"/>
        <xdr:cNvGraphicFramePr/>
      </xdr:nvGraphicFramePr>
      <xdr:xfrm>
        <a:off x="6343560" y="1657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131040</xdr:rowOff>
    </xdr:from>
    <xdr:to>
      <xdr:col>10</xdr:col>
      <xdr:colOff>136080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6343560" y="3943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32</xdr:row>
      <xdr:rowOff>130680</xdr:rowOff>
    </xdr:from>
    <xdr:to>
      <xdr:col>10</xdr:col>
      <xdr:colOff>136080</xdr:colOff>
      <xdr:row>47</xdr:row>
      <xdr:rowOff>153000</xdr:rowOff>
    </xdr:to>
    <xdr:graphicFrame>
      <xdr:nvGraphicFramePr>
        <xdr:cNvPr id="2" name="Chart 3"/>
        <xdr:cNvGraphicFramePr/>
      </xdr:nvGraphicFramePr>
      <xdr:xfrm>
        <a:off x="6343560" y="6610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33.75" hidden="false" customHeight="true" outlineLevel="0" collapsed="false">
      <c r="A5" s="4" t="n">
        <f aca="false">COUNTA('Employee Master'!A2:A121)</f>
        <v>120</v>
      </c>
      <c r="B5" s="4"/>
      <c r="C5" s="4" t="n">
        <f aca="false">COUNTIF('Employee Master'!E2:E121,"Active")</f>
        <v>103</v>
      </c>
      <c r="D5" s="4"/>
      <c r="E5" s="4" t="n">
        <f aca="false">COUNTIF('Employee Master'!E2:E121,"Terminated")</f>
        <v>17</v>
      </c>
      <c r="F5" s="4"/>
      <c r="G5" s="5" t="n">
        <f aca="false">IFERROR(E5/A5,0)</f>
        <v>0.141666666666667</v>
      </c>
      <c r="H5" s="5"/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  <c r="C9" s="7" t="s">
        <v>9</v>
      </c>
      <c r="D9" s="7" t="s">
        <v>10</v>
      </c>
    </row>
    <row r="10" customFormat="false" ht="15" hidden="false" customHeight="false" outlineLevel="0" collapsed="false">
      <c r="A10" s="8" t="s">
        <v>11</v>
      </c>
      <c r="B10" s="8" t="n">
        <f aca="false">COUNTIF('Employee Master'!C2:C121,A10)</f>
        <v>17</v>
      </c>
      <c r="C10" s="8" t="n">
        <f aca="false">COUNTIFS('Employee Master'!C2:C121,A10,'Employee Master'!E2:E121,"Terminated")</f>
        <v>2</v>
      </c>
      <c r="D10" s="9" t="n">
        <f aca="false">IFERROR(C10/B10,0)</f>
        <v>0.117647058823529</v>
      </c>
    </row>
    <row r="11" customFormat="false" ht="15" hidden="false" customHeight="false" outlineLevel="0" collapsed="false">
      <c r="A11" s="8" t="s">
        <v>12</v>
      </c>
      <c r="B11" s="8" t="n">
        <f aca="false">COUNTIF('Employee Master'!C2:C121,A11)</f>
        <v>16</v>
      </c>
      <c r="C11" s="8" t="n">
        <f aca="false">COUNTIFS('Employee Master'!C2:C121,A11,'Employee Master'!E2:E121,"Terminated")</f>
        <v>3</v>
      </c>
      <c r="D11" s="9" t="n">
        <f aca="false">IFERROR(C11/B11,0)</f>
        <v>0.1875</v>
      </c>
    </row>
    <row r="12" customFormat="false" ht="15" hidden="false" customHeight="false" outlineLevel="0" collapsed="false">
      <c r="A12" s="8" t="s">
        <v>13</v>
      </c>
      <c r="B12" s="8" t="n">
        <f aca="false">COUNTIF('Employee Master'!C2:C121,A12)</f>
        <v>14</v>
      </c>
      <c r="C12" s="8" t="n">
        <f aca="false">COUNTIFS('Employee Master'!C2:C121,A12,'Employee Master'!E2:E121,"Terminated")</f>
        <v>4</v>
      </c>
      <c r="D12" s="9" t="n">
        <f aca="false">IFERROR(C12/B12,0)</f>
        <v>0.285714285714286</v>
      </c>
    </row>
    <row r="13" customFormat="false" ht="15" hidden="false" customHeight="false" outlineLevel="0" collapsed="false">
      <c r="A13" s="8" t="s">
        <v>14</v>
      </c>
      <c r="B13" s="8" t="n">
        <f aca="false">COUNTIF('Employee Master'!C2:C121,A13)</f>
        <v>10</v>
      </c>
      <c r="C13" s="8" t="n">
        <f aca="false">COUNTIFS('Employee Master'!C2:C121,A13,'Employee Master'!E2:E121,"Terminated")</f>
        <v>1</v>
      </c>
      <c r="D13" s="9" t="n">
        <f aca="false">IFERROR(C13/B13,0)</f>
        <v>0.1</v>
      </c>
    </row>
    <row r="14" customFormat="false" ht="15" hidden="false" customHeight="false" outlineLevel="0" collapsed="false">
      <c r="A14" s="8" t="s">
        <v>15</v>
      </c>
      <c r="B14" s="8" t="n">
        <f aca="false">COUNTIF('Employee Master'!C2:C121,A14)</f>
        <v>12</v>
      </c>
      <c r="C14" s="8" t="n">
        <f aca="false">COUNTIFS('Employee Master'!C2:C121,A14,'Employee Master'!E2:E121,"Terminated")</f>
        <v>1</v>
      </c>
      <c r="D14" s="9" t="n">
        <f aca="false">IFERROR(C14/B14,0)</f>
        <v>0.0833333333333333</v>
      </c>
    </row>
    <row r="15" customFormat="false" ht="15" hidden="false" customHeight="false" outlineLevel="0" collapsed="false">
      <c r="A15" s="8" t="s">
        <v>16</v>
      </c>
      <c r="B15" s="8" t="n">
        <f aca="false">COUNTIF('Employee Master'!C2:C121,A15)</f>
        <v>9</v>
      </c>
      <c r="C15" s="8" t="n">
        <f aca="false">COUNTIFS('Employee Master'!C2:C121,A15,'Employee Master'!E2:E121,"Terminated")</f>
        <v>0</v>
      </c>
      <c r="D15" s="9" t="n">
        <f aca="false">IFERROR(C15/B15,0)</f>
        <v>0</v>
      </c>
    </row>
    <row r="16" customFormat="false" ht="15" hidden="false" customHeight="false" outlineLevel="0" collapsed="false">
      <c r="A16" s="8" t="s">
        <v>17</v>
      </c>
      <c r="B16" s="8" t="n">
        <f aca="false">COUNTIF('Employee Master'!C2:C121,A16)</f>
        <v>14</v>
      </c>
      <c r="C16" s="8" t="n">
        <f aca="false">COUNTIFS('Employee Master'!C2:C121,A16,'Employee Master'!E2:E121,"Terminated")</f>
        <v>2</v>
      </c>
      <c r="D16" s="9" t="n">
        <f aca="false">IFERROR(C16/B16,0)</f>
        <v>0.142857142857143</v>
      </c>
    </row>
    <row r="17" customFormat="false" ht="15" hidden="false" customHeight="false" outlineLevel="0" collapsed="false">
      <c r="A17" s="8" t="s">
        <v>18</v>
      </c>
      <c r="B17" s="8" t="n">
        <f aca="false">COUNTIF('Employee Master'!C2:C121,A17)</f>
        <v>22</v>
      </c>
      <c r="C17" s="8" t="n">
        <f aca="false">COUNTIFS('Employee Master'!C2:C121,A17,'Employee Master'!E2:E121,"Terminated")</f>
        <v>4</v>
      </c>
      <c r="D17" s="9" t="n">
        <f aca="false">IFERROR(C17/B17,0)</f>
        <v>0.181818181818182</v>
      </c>
    </row>
    <row r="18" customFormat="false" ht="15" hidden="false" customHeight="false" outlineLevel="0" collapsed="false">
      <c r="A18" s="8" t="s">
        <v>19</v>
      </c>
      <c r="B18" s="8" t="n">
        <f aca="false">COUNTIF('Employee Master'!C2:C121,A18)</f>
        <v>6</v>
      </c>
      <c r="C18" s="8" t="n">
        <f aca="false">COUNTIFS('Employee Master'!C2:C121,A18,'Employee Master'!E2:E121,"Terminated")</f>
        <v>0</v>
      </c>
      <c r="D18" s="9" t="n">
        <f aca="false">IFERROR(C18/B18,0)</f>
        <v>0</v>
      </c>
    </row>
    <row r="20" customFormat="false" ht="15" hidden="false" customHeight="false" outlineLevel="0" collapsed="false">
      <c r="A20" s="6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7" t="s">
        <v>23</v>
      </c>
    </row>
    <row r="22" customFormat="false" ht="15" hidden="false" customHeight="false" outlineLevel="0" collapsed="false">
      <c r="A22" s="8" t="s">
        <v>24</v>
      </c>
      <c r="B22" s="8" t="n">
        <f aca="false">COUNTIF('Employee Master'!H2:H121,A22)</f>
        <v>24</v>
      </c>
      <c r="C22" s="9" t="n">
        <f aca="false">IFERROR(B22/$A$5,0)</f>
        <v>0.2</v>
      </c>
    </row>
    <row r="23" customFormat="false" ht="15" hidden="false" customHeight="false" outlineLevel="0" collapsed="false">
      <c r="A23" s="8" t="s">
        <v>25</v>
      </c>
      <c r="B23" s="8" t="n">
        <f aca="false">COUNTIF('Employee Master'!H2:H121,A23)</f>
        <v>48</v>
      </c>
      <c r="C23" s="9" t="n">
        <f aca="false">IFERROR(B23/$A$5,0)</f>
        <v>0.4</v>
      </c>
    </row>
    <row r="24" customFormat="false" ht="15" hidden="false" customHeight="false" outlineLevel="0" collapsed="false">
      <c r="A24" s="8" t="s">
        <v>26</v>
      </c>
      <c r="B24" s="8" t="n">
        <f aca="false">COUNTIF('Employee Master'!H2:H121,A24)</f>
        <v>25</v>
      </c>
      <c r="C24" s="9" t="n">
        <f aca="false">IFERROR(B24/$A$5,0)</f>
        <v>0.208333333333333</v>
      </c>
    </row>
    <row r="25" customFormat="false" ht="15" hidden="false" customHeight="false" outlineLevel="0" collapsed="false">
      <c r="A25" s="8" t="s">
        <v>27</v>
      </c>
      <c r="B25" s="8" t="n">
        <f aca="false">COUNTIF('Employee Master'!H2:H121,A25)</f>
        <v>23</v>
      </c>
      <c r="C25" s="9" t="n">
        <f aca="false">IFERROR(B25/$A$5,0)</f>
        <v>0.191666666666667</v>
      </c>
    </row>
    <row r="27" customFormat="false" ht="15" hidden="false" customHeight="false" outlineLevel="0" collapsed="false">
      <c r="A27" s="6" t="s">
        <v>28</v>
      </c>
    </row>
    <row r="28" customFormat="false" ht="15" hidden="false" customHeight="false" outlineLevel="0" collapsed="false">
      <c r="A28" s="7" t="s">
        <v>29</v>
      </c>
      <c r="B28" s="7" t="s">
        <v>30</v>
      </c>
    </row>
    <row r="29" customFormat="false" ht="15" hidden="false" customHeight="false" outlineLevel="0" collapsed="false">
      <c r="A29" s="8" t="s">
        <v>31</v>
      </c>
      <c r="B29" s="8" t="n">
        <f aca="false">COUNTA('Data Quality'!A2:A24)</f>
        <v>23</v>
      </c>
    </row>
    <row r="30" customFormat="false" ht="15" hidden="false" customHeight="false" outlineLevel="0" collapsed="false">
      <c r="A30" s="8" t="s">
        <v>32</v>
      </c>
      <c r="B30" s="8" t="n">
        <f aca="false">COUNTIF('Data Quality'!E2:E24,"Resolved")</f>
        <v>7</v>
      </c>
    </row>
    <row r="31" customFormat="false" ht="15" hidden="false" customHeight="false" outlineLevel="0" collapsed="false">
      <c r="A31" s="8" t="s">
        <v>33</v>
      </c>
      <c r="B31" s="8" t="n">
        <f aca="false">COUNTIF('Data Quality'!E2:E24,"Pending")</f>
        <v>16</v>
      </c>
    </row>
    <row r="32" customFormat="false" ht="15" hidden="false" customHeight="false" outlineLevel="0" collapsed="false">
      <c r="A32" s="8" t="s">
        <v>34</v>
      </c>
      <c r="B32" s="9" t="n">
        <f aca="false">IFERROR(B30/B29,0)</f>
        <v>0.304347826086957</v>
      </c>
    </row>
    <row r="34" customFormat="false" ht="15" hidden="false" customHeight="false" outlineLevel="0" collapsed="false">
      <c r="A34" s="6" t="s">
        <v>35</v>
      </c>
    </row>
    <row r="35" customFormat="false" ht="15" hidden="false" customHeight="false" outlineLevel="0" collapsed="false">
      <c r="A35" s="7" t="s">
        <v>29</v>
      </c>
      <c r="B35" s="7" t="s">
        <v>30</v>
      </c>
    </row>
    <row r="36" customFormat="false" ht="15" hidden="false" customHeight="false" outlineLevel="0" collapsed="false">
      <c r="A36" s="8" t="s">
        <v>36</v>
      </c>
      <c r="B36" s="8" t="n">
        <f aca="false">COUNTA('Ticket Tracker'!A2:A11)</f>
        <v>10</v>
      </c>
    </row>
    <row r="37" customFormat="false" ht="15" hidden="false" customHeight="false" outlineLevel="0" collapsed="false">
      <c r="A37" s="8" t="s">
        <v>37</v>
      </c>
      <c r="B37" s="8" t="n">
        <f aca="false">COUNTIF('Ticket Tracker'!G2:G11,"Closed")</f>
        <v>8</v>
      </c>
    </row>
    <row r="38" customFormat="false" ht="15" hidden="false" customHeight="false" outlineLevel="0" collapsed="false">
      <c r="A38" s="8" t="s">
        <v>38</v>
      </c>
      <c r="B38" s="8" t="n">
        <f aca="false">COUNTIF('Ticket Tracker'!G2:G11,"Open")</f>
        <v>1</v>
      </c>
    </row>
    <row r="39" customFormat="false" ht="15" hidden="false" customHeight="false" outlineLevel="0" collapsed="false">
      <c r="A39" s="8" t="s">
        <v>39</v>
      </c>
      <c r="B39" s="8" t="n">
        <f aca="false">COUNTIF('Ticket Tracker'!G2:G11,"In Progress")</f>
        <v>1</v>
      </c>
    </row>
    <row r="40" customFormat="false" ht="15" hidden="false" customHeight="false" outlineLevel="0" collapsed="false">
      <c r="A40" s="8" t="s">
        <v>40</v>
      </c>
      <c r="B40" s="9" t="n">
        <f aca="false">IFERROR(COUNTIF('Ticket Tracker'!K2:K11,"Yes")/COUNTIF('Ticket Tracker'!G2:G11,"Closed"),0)</f>
        <v>1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7" t="s">
        <v>41</v>
      </c>
      <c r="B1" s="7" t="s">
        <v>42</v>
      </c>
      <c r="C1" s="7" t="s">
        <v>7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</row>
    <row r="2" customFormat="false" ht="15" hidden="false" customHeight="false" outlineLevel="0" collapsed="false">
      <c r="A2" s="8" t="s">
        <v>48</v>
      </c>
      <c r="B2" s="8" t="s">
        <v>49</v>
      </c>
      <c r="C2" s="8" t="s">
        <v>18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25</v>
      </c>
    </row>
    <row r="3" customFormat="false" ht="15" hidden="false" customHeight="false" outlineLevel="0" collapsed="false">
      <c r="A3" s="8" t="s">
        <v>54</v>
      </c>
      <c r="B3" s="8" t="s">
        <v>55</v>
      </c>
      <c r="C3" s="8" t="s">
        <v>14</v>
      </c>
      <c r="D3" s="8" t="s">
        <v>56</v>
      </c>
      <c r="E3" s="8" t="s">
        <v>57</v>
      </c>
      <c r="F3" s="8"/>
      <c r="G3" s="8" t="s">
        <v>53</v>
      </c>
      <c r="H3" s="8" t="s">
        <v>25</v>
      </c>
    </row>
    <row r="4" customFormat="false" ht="15" hidden="false" customHeight="false" outlineLevel="0" collapsed="false">
      <c r="A4" s="8" t="s">
        <v>58</v>
      </c>
      <c r="B4" s="8" t="s">
        <v>59</v>
      </c>
      <c r="C4" s="8" t="s">
        <v>13</v>
      </c>
      <c r="D4" s="8" t="s">
        <v>60</v>
      </c>
      <c r="E4" s="8" t="s">
        <v>57</v>
      </c>
      <c r="F4" s="8"/>
      <c r="G4" s="8" t="s">
        <v>61</v>
      </c>
      <c r="H4" s="8" t="s">
        <v>27</v>
      </c>
    </row>
    <row r="5" customFormat="false" ht="15" hidden="false" customHeight="false" outlineLevel="0" collapsed="false">
      <c r="A5" s="8" t="s">
        <v>62</v>
      </c>
      <c r="B5" s="8" t="s">
        <v>63</v>
      </c>
      <c r="C5" s="8" t="s">
        <v>15</v>
      </c>
      <c r="D5" s="8" t="s">
        <v>64</v>
      </c>
      <c r="E5" s="8" t="s">
        <v>57</v>
      </c>
      <c r="F5" s="8"/>
      <c r="G5" s="8" t="s">
        <v>65</v>
      </c>
      <c r="H5" s="8" t="s">
        <v>27</v>
      </c>
    </row>
    <row r="6" customFormat="false" ht="15" hidden="false" customHeight="false" outlineLevel="0" collapsed="false">
      <c r="A6" s="8" t="s">
        <v>66</v>
      </c>
      <c r="B6" s="8" t="s">
        <v>67</v>
      </c>
      <c r="C6" s="8" t="s">
        <v>17</v>
      </c>
      <c r="D6" s="8" t="s">
        <v>68</v>
      </c>
      <c r="E6" s="8" t="s">
        <v>57</v>
      </c>
      <c r="F6" s="8"/>
      <c r="G6" s="8" t="s">
        <v>69</v>
      </c>
      <c r="H6" s="8" t="s">
        <v>25</v>
      </c>
    </row>
    <row r="7" customFormat="false" ht="15" hidden="false" customHeight="false" outlineLevel="0" collapsed="false">
      <c r="A7" s="8" t="s">
        <v>70</v>
      </c>
      <c r="B7" s="8" t="s">
        <v>71</v>
      </c>
      <c r="C7" s="8" t="s">
        <v>17</v>
      </c>
      <c r="D7" s="8" t="s">
        <v>72</v>
      </c>
      <c r="E7" s="8" t="s">
        <v>57</v>
      </c>
      <c r="F7" s="8"/>
      <c r="G7" s="8" t="s">
        <v>73</v>
      </c>
      <c r="H7" s="8" t="s">
        <v>25</v>
      </c>
    </row>
    <row r="8" customFormat="false" ht="15" hidden="false" customHeight="false" outlineLevel="0" collapsed="false">
      <c r="A8" s="8" t="s">
        <v>74</v>
      </c>
      <c r="B8" s="8" t="s">
        <v>75</v>
      </c>
      <c r="C8" s="8" t="s">
        <v>18</v>
      </c>
      <c r="D8" s="8" t="s">
        <v>76</v>
      </c>
      <c r="E8" s="8" t="s">
        <v>51</v>
      </c>
      <c r="F8" s="8" t="s">
        <v>77</v>
      </c>
      <c r="G8" s="8" t="s">
        <v>78</v>
      </c>
      <c r="H8" s="8" t="s">
        <v>25</v>
      </c>
    </row>
    <row r="9" customFormat="false" ht="15" hidden="false" customHeight="false" outlineLevel="0" collapsed="false">
      <c r="A9" s="8" t="s">
        <v>79</v>
      </c>
      <c r="B9" s="8" t="s">
        <v>80</v>
      </c>
      <c r="C9" s="8" t="s">
        <v>12</v>
      </c>
      <c r="D9" s="8" t="s">
        <v>81</v>
      </c>
      <c r="E9" s="8" t="s">
        <v>57</v>
      </c>
      <c r="F9" s="8"/>
      <c r="G9" s="8" t="s">
        <v>53</v>
      </c>
      <c r="H9" s="8" t="s">
        <v>25</v>
      </c>
    </row>
    <row r="10" customFormat="false" ht="15" hidden="false" customHeight="false" outlineLevel="0" collapsed="false">
      <c r="A10" s="8" t="s">
        <v>82</v>
      </c>
      <c r="B10" s="8" t="s">
        <v>83</v>
      </c>
      <c r="C10" s="8" t="s">
        <v>17</v>
      </c>
      <c r="D10" s="8" t="s">
        <v>84</v>
      </c>
      <c r="E10" s="8" t="s">
        <v>57</v>
      </c>
      <c r="F10" s="8"/>
      <c r="G10" s="8" t="s">
        <v>61</v>
      </c>
      <c r="H10" s="8" t="s">
        <v>25</v>
      </c>
    </row>
    <row r="11" customFormat="false" ht="15" hidden="false" customHeight="false" outlineLevel="0" collapsed="false">
      <c r="A11" s="8" t="s">
        <v>85</v>
      </c>
      <c r="B11" s="8" t="s">
        <v>86</v>
      </c>
      <c r="C11" s="8" t="s">
        <v>12</v>
      </c>
      <c r="D11" s="8" t="s">
        <v>87</v>
      </c>
      <c r="E11" s="8" t="s">
        <v>51</v>
      </c>
      <c r="F11" s="8"/>
      <c r="G11" s="8" t="s">
        <v>73</v>
      </c>
      <c r="H11" s="8" t="s">
        <v>24</v>
      </c>
    </row>
    <row r="12" customFormat="false" ht="15" hidden="false" customHeight="false" outlineLevel="0" collapsed="false">
      <c r="A12" s="8" t="s">
        <v>88</v>
      </c>
      <c r="B12" s="8" t="s">
        <v>89</v>
      </c>
      <c r="C12" s="8" t="s">
        <v>18</v>
      </c>
      <c r="D12" s="8" t="s">
        <v>90</v>
      </c>
      <c r="E12" s="8" t="s">
        <v>51</v>
      </c>
      <c r="F12" s="8" t="s">
        <v>91</v>
      </c>
      <c r="G12" s="8" t="s">
        <v>78</v>
      </c>
      <c r="H12" s="8" t="s">
        <v>25</v>
      </c>
    </row>
    <row r="13" customFormat="false" ht="15" hidden="false" customHeight="false" outlineLevel="0" collapsed="false">
      <c r="A13" s="8" t="s">
        <v>92</v>
      </c>
      <c r="B13" s="8" t="s">
        <v>93</v>
      </c>
      <c r="C13" s="8" t="s">
        <v>16</v>
      </c>
      <c r="D13" s="8" t="s">
        <v>94</v>
      </c>
      <c r="E13" s="8" t="s">
        <v>57</v>
      </c>
      <c r="F13" s="8"/>
      <c r="G13" s="8" t="s">
        <v>61</v>
      </c>
      <c r="H13" s="8" t="s">
        <v>24</v>
      </c>
    </row>
    <row r="14" customFormat="false" ht="15" hidden="false" customHeight="false" outlineLevel="0" collapsed="false">
      <c r="A14" s="8" t="s">
        <v>95</v>
      </c>
      <c r="B14" s="8" t="s">
        <v>96</v>
      </c>
      <c r="C14" s="8" t="s">
        <v>13</v>
      </c>
      <c r="D14" s="8" t="s">
        <v>97</v>
      </c>
      <c r="E14" s="8" t="s">
        <v>51</v>
      </c>
      <c r="F14" s="8" t="s">
        <v>98</v>
      </c>
      <c r="G14" s="8" t="s">
        <v>99</v>
      </c>
      <c r="H14" s="8" t="s">
        <v>26</v>
      </c>
    </row>
    <row r="15" customFormat="false" ht="15" hidden="false" customHeight="false" outlineLevel="0" collapsed="false">
      <c r="A15" s="8" t="s">
        <v>100</v>
      </c>
      <c r="B15" s="8" t="s">
        <v>101</v>
      </c>
      <c r="C15" s="8" t="s">
        <v>14</v>
      </c>
      <c r="D15" s="8" t="s">
        <v>102</v>
      </c>
      <c r="E15" s="8" t="s">
        <v>51</v>
      </c>
      <c r="F15" s="8" t="s">
        <v>103</v>
      </c>
      <c r="G15" s="8" t="s">
        <v>99</v>
      </c>
      <c r="H15" s="8" t="s">
        <v>27</v>
      </c>
    </row>
    <row r="16" customFormat="false" ht="15" hidden="false" customHeight="false" outlineLevel="0" collapsed="false">
      <c r="A16" s="8" t="s">
        <v>104</v>
      </c>
      <c r="B16" s="8" t="s">
        <v>105</v>
      </c>
      <c r="C16" s="8" t="s">
        <v>13</v>
      </c>
      <c r="D16" s="8" t="s">
        <v>106</v>
      </c>
      <c r="E16" s="8" t="s">
        <v>57</v>
      </c>
      <c r="F16" s="8"/>
      <c r="G16" s="8" t="s">
        <v>53</v>
      </c>
      <c r="H16" s="8" t="s">
        <v>24</v>
      </c>
    </row>
    <row r="17" customFormat="false" ht="15" hidden="false" customHeight="false" outlineLevel="0" collapsed="false">
      <c r="A17" s="8" t="s">
        <v>107</v>
      </c>
      <c r="B17" s="8" t="s">
        <v>108</v>
      </c>
      <c r="C17" s="8" t="s">
        <v>18</v>
      </c>
      <c r="D17" s="8" t="s">
        <v>109</v>
      </c>
      <c r="E17" s="8" t="s">
        <v>57</v>
      </c>
      <c r="F17" s="8"/>
      <c r="G17" s="8" t="s">
        <v>73</v>
      </c>
      <c r="H17" s="8" t="s">
        <v>26</v>
      </c>
    </row>
    <row r="18" customFormat="false" ht="15" hidden="false" customHeight="false" outlineLevel="0" collapsed="false">
      <c r="A18" s="8" t="s">
        <v>110</v>
      </c>
      <c r="B18" s="8" t="s">
        <v>111</v>
      </c>
      <c r="C18" s="8" t="s">
        <v>18</v>
      </c>
      <c r="D18" s="8" t="s">
        <v>112</v>
      </c>
      <c r="E18" s="8" t="s">
        <v>57</v>
      </c>
      <c r="F18" s="8"/>
      <c r="G18" s="8" t="s">
        <v>73</v>
      </c>
      <c r="H18" s="8" t="s">
        <v>27</v>
      </c>
    </row>
    <row r="19" customFormat="false" ht="15" hidden="false" customHeight="false" outlineLevel="0" collapsed="false">
      <c r="A19" s="8" t="s">
        <v>113</v>
      </c>
      <c r="B19" s="8" t="s">
        <v>114</v>
      </c>
      <c r="C19" s="8" t="s">
        <v>13</v>
      </c>
      <c r="D19" s="8" t="s">
        <v>115</v>
      </c>
      <c r="E19" s="8" t="s">
        <v>51</v>
      </c>
      <c r="F19" s="8" t="s">
        <v>116</v>
      </c>
      <c r="G19" s="8" t="s">
        <v>65</v>
      </c>
      <c r="H19" s="8" t="s">
        <v>26</v>
      </c>
    </row>
    <row r="20" customFormat="false" ht="15" hidden="false" customHeight="false" outlineLevel="0" collapsed="false">
      <c r="A20" s="8" t="s">
        <v>117</v>
      </c>
      <c r="B20" s="8" t="s">
        <v>118</v>
      </c>
      <c r="C20" s="8" t="s">
        <v>12</v>
      </c>
      <c r="D20" s="8" t="s">
        <v>119</v>
      </c>
      <c r="E20" s="8" t="s">
        <v>57</v>
      </c>
      <c r="F20" s="8"/>
      <c r="G20" s="8" t="s">
        <v>61</v>
      </c>
      <c r="H20" s="8" t="s">
        <v>25</v>
      </c>
    </row>
    <row r="21" customFormat="false" ht="15" hidden="false" customHeight="false" outlineLevel="0" collapsed="false">
      <c r="A21" s="8" t="s">
        <v>120</v>
      </c>
      <c r="B21" s="8" t="s">
        <v>121</v>
      </c>
      <c r="C21" s="8" t="s">
        <v>11</v>
      </c>
      <c r="D21" s="8" t="s">
        <v>122</v>
      </c>
      <c r="E21" s="8" t="s">
        <v>57</v>
      </c>
      <c r="F21" s="8"/>
      <c r="G21" s="8" t="s">
        <v>73</v>
      </c>
      <c r="H21" s="8" t="s">
        <v>24</v>
      </c>
    </row>
    <row r="22" customFormat="false" ht="15" hidden="false" customHeight="false" outlineLevel="0" collapsed="false">
      <c r="A22" s="8" t="s">
        <v>123</v>
      </c>
      <c r="B22" s="8" t="s">
        <v>124</v>
      </c>
      <c r="C22" s="8" t="s">
        <v>17</v>
      </c>
      <c r="D22" s="8" t="s">
        <v>125</v>
      </c>
      <c r="E22" s="8" t="s">
        <v>51</v>
      </c>
      <c r="F22" s="8" t="s">
        <v>126</v>
      </c>
      <c r="G22" s="8" t="s">
        <v>99</v>
      </c>
      <c r="H22" s="8" t="s">
        <v>26</v>
      </c>
    </row>
    <row r="23" customFormat="false" ht="15" hidden="false" customHeight="false" outlineLevel="0" collapsed="false">
      <c r="A23" s="8" t="s">
        <v>127</v>
      </c>
      <c r="B23" s="8" t="s">
        <v>128</v>
      </c>
      <c r="C23" s="8" t="s">
        <v>18</v>
      </c>
      <c r="D23" s="8" t="s">
        <v>129</v>
      </c>
      <c r="E23" s="8" t="s">
        <v>57</v>
      </c>
      <c r="F23" s="8"/>
      <c r="G23" s="8" t="s">
        <v>65</v>
      </c>
      <c r="H23" s="8" t="s">
        <v>25</v>
      </c>
    </row>
    <row r="24" customFormat="false" ht="15" hidden="false" customHeight="false" outlineLevel="0" collapsed="false">
      <c r="A24" s="8" t="s">
        <v>130</v>
      </c>
      <c r="B24" s="8" t="s">
        <v>131</v>
      </c>
      <c r="C24" s="8" t="s">
        <v>12</v>
      </c>
      <c r="D24" s="8" t="s">
        <v>132</v>
      </c>
      <c r="E24" s="8" t="s">
        <v>57</v>
      </c>
      <c r="F24" s="8"/>
      <c r="G24" s="8" t="s">
        <v>61</v>
      </c>
      <c r="H24" s="8" t="s">
        <v>25</v>
      </c>
    </row>
    <row r="25" customFormat="false" ht="15" hidden="false" customHeight="false" outlineLevel="0" collapsed="false">
      <c r="A25" s="8" t="s">
        <v>133</v>
      </c>
      <c r="B25" s="8" t="s">
        <v>134</v>
      </c>
      <c r="C25" s="8" t="s">
        <v>12</v>
      </c>
      <c r="D25" s="8" t="s">
        <v>125</v>
      </c>
      <c r="E25" s="8" t="s">
        <v>57</v>
      </c>
      <c r="F25" s="8"/>
      <c r="G25" s="8" t="s">
        <v>65</v>
      </c>
      <c r="H25" s="8" t="s">
        <v>27</v>
      </c>
    </row>
    <row r="26" customFormat="false" ht="15" hidden="false" customHeight="false" outlineLevel="0" collapsed="false">
      <c r="A26" s="8" t="s">
        <v>135</v>
      </c>
      <c r="B26" s="8" t="s">
        <v>136</v>
      </c>
      <c r="C26" s="8" t="s">
        <v>13</v>
      </c>
      <c r="D26" s="8" t="s">
        <v>137</v>
      </c>
      <c r="E26" s="8" t="s">
        <v>57</v>
      </c>
      <c r="F26" s="8"/>
      <c r="G26" s="8" t="s">
        <v>99</v>
      </c>
      <c r="H26" s="8" t="s">
        <v>26</v>
      </c>
    </row>
    <row r="27" customFormat="false" ht="15" hidden="false" customHeight="false" outlineLevel="0" collapsed="false">
      <c r="A27" s="8" t="s">
        <v>138</v>
      </c>
      <c r="B27" s="8" t="s">
        <v>139</v>
      </c>
      <c r="C27" s="8" t="s">
        <v>18</v>
      </c>
      <c r="D27" s="8" t="s">
        <v>140</v>
      </c>
      <c r="E27" s="8" t="s">
        <v>57</v>
      </c>
      <c r="F27" s="8"/>
      <c r="G27" s="8" t="s">
        <v>53</v>
      </c>
      <c r="H27" s="8" t="s">
        <v>27</v>
      </c>
    </row>
    <row r="28" customFormat="false" ht="15" hidden="false" customHeight="false" outlineLevel="0" collapsed="false">
      <c r="A28" s="8" t="s">
        <v>141</v>
      </c>
      <c r="B28" s="8" t="s">
        <v>142</v>
      </c>
      <c r="C28" s="8" t="s">
        <v>15</v>
      </c>
      <c r="D28" s="8" t="s">
        <v>143</v>
      </c>
      <c r="E28" s="8" t="s">
        <v>57</v>
      </c>
      <c r="F28" s="8"/>
      <c r="G28" s="8" t="s">
        <v>65</v>
      </c>
      <c r="H28" s="8" t="s">
        <v>24</v>
      </c>
    </row>
    <row r="29" customFormat="false" ht="15" hidden="false" customHeight="false" outlineLevel="0" collapsed="false">
      <c r="A29" s="8" t="s">
        <v>144</v>
      </c>
      <c r="B29" s="8" t="s">
        <v>145</v>
      </c>
      <c r="C29" s="8" t="s">
        <v>12</v>
      </c>
      <c r="D29" s="8" t="s">
        <v>146</v>
      </c>
      <c r="E29" s="8" t="s">
        <v>51</v>
      </c>
      <c r="F29" s="8" t="s">
        <v>147</v>
      </c>
      <c r="G29" s="8" t="s">
        <v>99</v>
      </c>
      <c r="H29" s="8" t="s">
        <v>24</v>
      </c>
    </row>
    <row r="30" customFormat="false" ht="15" hidden="false" customHeight="false" outlineLevel="0" collapsed="false">
      <c r="A30" s="8" t="s">
        <v>148</v>
      </c>
      <c r="B30" s="8" t="s">
        <v>149</v>
      </c>
      <c r="C30" s="8" t="s">
        <v>11</v>
      </c>
      <c r="D30" s="8" t="s">
        <v>150</v>
      </c>
      <c r="E30" s="8" t="s">
        <v>51</v>
      </c>
      <c r="F30" s="8" t="s">
        <v>151</v>
      </c>
      <c r="G30" s="8" t="s">
        <v>53</v>
      </c>
      <c r="H30" s="8" t="s">
        <v>25</v>
      </c>
    </row>
    <row r="31" customFormat="false" ht="15" hidden="false" customHeight="false" outlineLevel="0" collapsed="false">
      <c r="A31" s="8" t="s">
        <v>152</v>
      </c>
      <c r="B31" s="8" t="s">
        <v>153</v>
      </c>
      <c r="C31" s="8" t="s">
        <v>15</v>
      </c>
      <c r="D31" s="8" t="s">
        <v>154</v>
      </c>
      <c r="E31" s="8" t="s">
        <v>57</v>
      </c>
      <c r="F31" s="8"/>
      <c r="G31" s="8" t="s">
        <v>65</v>
      </c>
      <c r="H31" s="8" t="s">
        <v>27</v>
      </c>
    </row>
    <row r="32" customFormat="false" ht="15" hidden="false" customHeight="false" outlineLevel="0" collapsed="false">
      <c r="A32" s="8" t="s">
        <v>155</v>
      </c>
      <c r="B32" s="8" t="s">
        <v>156</v>
      </c>
      <c r="C32" s="8" t="s">
        <v>13</v>
      </c>
      <c r="D32" s="8" t="s">
        <v>157</v>
      </c>
      <c r="E32" s="8" t="s">
        <v>51</v>
      </c>
      <c r="F32" s="8" t="s">
        <v>158</v>
      </c>
      <c r="G32" s="8" t="s">
        <v>78</v>
      </c>
      <c r="H32" s="8" t="s">
        <v>26</v>
      </c>
    </row>
    <row r="33" customFormat="false" ht="15" hidden="false" customHeight="false" outlineLevel="0" collapsed="false">
      <c r="A33" s="8" t="s">
        <v>159</v>
      </c>
      <c r="B33" s="8" t="s">
        <v>160</v>
      </c>
      <c r="C33" s="8" t="s">
        <v>12</v>
      </c>
      <c r="D33" s="8" t="s">
        <v>161</v>
      </c>
      <c r="E33" s="8" t="s">
        <v>57</v>
      </c>
      <c r="F33" s="8"/>
      <c r="G33" s="8" t="s">
        <v>78</v>
      </c>
      <c r="H33" s="8" t="s">
        <v>27</v>
      </c>
    </row>
    <row r="34" customFormat="false" ht="15" hidden="false" customHeight="false" outlineLevel="0" collapsed="false">
      <c r="A34" s="8" t="s">
        <v>162</v>
      </c>
      <c r="B34" s="8" t="s">
        <v>163</v>
      </c>
      <c r="C34" s="8" t="s">
        <v>11</v>
      </c>
      <c r="D34" s="8" t="s">
        <v>164</v>
      </c>
      <c r="E34" s="8" t="s">
        <v>57</v>
      </c>
      <c r="F34" s="8"/>
      <c r="G34" s="8" t="s">
        <v>69</v>
      </c>
      <c r="H34" s="8" t="s">
        <v>26</v>
      </c>
    </row>
    <row r="35" customFormat="false" ht="15" hidden="false" customHeight="false" outlineLevel="0" collapsed="false">
      <c r="A35" s="8" t="s">
        <v>165</v>
      </c>
      <c r="B35" s="8" t="s">
        <v>166</v>
      </c>
      <c r="C35" s="8" t="s">
        <v>11</v>
      </c>
      <c r="D35" s="8" t="s">
        <v>167</v>
      </c>
      <c r="E35" s="8" t="s">
        <v>57</v>
      </c>
      <c r="F35" s="8"/>
      <c r="G35" s="8" t="s">
        <v>53</v>
      </c>
      <c r="H35" s="8" t="s">
        <v>27</v>
      </c>
    </row>
    <row r="36" customFormat="false" ht="15" hidden="false" customHeight="false" outlineLevel="0" collapsed="false">
      <c r="A36" s="8" t="s">
        <v>168</v>
      </c>
      <c r="B36" s="8" t="s">
        <v>169</v>
      </c>
      <c r="C36" s="8" t="s">
        <v>17</v>
      </c>
      <c r="D36" s="8" t="s">
        <v>170</v>
      </c>
      <c r="E36" s="8" t="s">
        <v>57</v>
      </c>
      <c r="F36" s="8"/>
      <c r="G36" s="8" t="s">
        <v>78</v>
      </c>
      <c r="H36" s="8" t="s">
        <v>27</v>
      </c>
    </row>
    <row r="37" customFormat="false" ht="15" hidden="false" customHeight="false" outlineLevel="0" collapsed="false">
      <c r="A37" s="8" t="s">
        <v>171</v>
      </c>
      <c r="B37" s="8" t="s">
        <v>172</v>
      </c>
      <c r="C37" s="8" t="s">
        <v>16</v>
      </c>
      <c r="D37" s="8" t="s">
        <v>173</v>
      </c>
      <c r="E37" s="8" t="s">
        <v>57</v>
      </c>
      <c r="F37" s="8"/>
      <c r="G37" s="8" t="s">
        <v>99</v>
      </c>
      <c r="H37" s="8" t="s">
        <v>25</v>
      </c>
    </row>
    <row r="38" customFormat="false" ht="15" hidden="false" customHeight="false" outlineLevel="0" collapsed="false">
      <c r="A38" s="8" t="s">
        <v>174</v>
      </c>
      <c r="B38" s="8" t="s">
        <v>175</v>
      </c>
      <c r="C38" s="8" t="s">
        <v>11</v>
      </c>
      <c r="D38" s="8" t="s">
        <v>176</v>
      </c>
      <c r="E38" s="8" t="s">
        <v>57</v>
      </c>
      <c r="F38" s="8"/>
      <c r="G38" s="8" t="s">
        <v>61</v>
      </c>
      <c r="H38" s="8" t="s">
        <v>26</v>
      </c>
    </row>
    <row r="39" customFormat="false" ht="15" hidden="false" customHeight="false" outlineLevel="0" collapsed="false">
      <c r="A39" s="8" t="s">
        <v>177</v>
      </c>
      <c r="B39" s="8" t="s">
        <v>178</v>
      </c>
      <c r="C39" s="8" t="s">
        <v>11</v>
      </c>
      <c r="D39" s="8" t="s">
        <v>179</v>
      </c>
      <c r="E39" s="8" t="s">
        <v>57</v>
      </c>
      <c r="F39" s="8"/>
      <c r="G39" s="8" t="s">
        <v>73</v>
      </c>
      <c r="H39" s="8" t="s">
        <v>27</v>
      </c>
    </row>
    <row r="40" customFormat="false" ht="15" hidden="false" customHeight="false" outlineLevel="0" collapsed="false">
      <c r="A40" s="8" t="s">
        <v>180</v>
      </c>
      <c r="B40" s="8" t="s">
        <v>181</v>
      </c>
      <c r="C40" s="8" t="s">
        <v>14</v>
      </c>
      <c r="D40" s="8" t="s">
        <v>182</v>
      </c>
      <c r="E40" s="8" t="s">
        <v>57</v>
      </c>
      <c r="F40" s="8"/>
      <c r="G40" s="8" t="s">
        <v>99</v>
      </c>
      <c r="H40" s="8" t="s">
        <v>24</v>
      </c>
    </row>
    <row r="41" customFormat="false" ht="15" hidden="false" customHeight="false" outlineLevel="0" collapsed="false">
      <c r="A41" s="8" t="s">
        <v>183</v>
      </c>
      <c r="B41" s="8" t="s">
        <v>184</v>
      </c>
      <c r="C41" s="8" t="s">
        <v>16</v>
      </c>
      <c r="D41" s="8" t="s">
        <v>185</v>
      </c>
      <c r="E41" s="8" t="s">
        <v>57</v>
      </c>
      <c r="F41" s="8"/>
      <c r="G41" s="8" t="s">
        <v>78</v>
      </c>
      <c r="H41" s="8" t="s">
        <v>26</v>
      </c>
    </row>
    <row r="42" customFormat="false" ht="15" hidden="false" customHeight="false" outlineLevel="0" collapsed="false">
      <c r="A42" s="8" t="s">
        <v>186</v>
      </c>
      <c r="B42" s="8" t="s">
        <v>187</v>
      </c>
      <c r="C42" s="8" t="s">
        <v>18</v>
      </c>
      <c r="D42" s="8" t="s">
        <v>188</v>
      </c>
      <c r="E42" s="8" t="s">
        <v>51</v>
      </c>
      <c r="F42" s="8" t="s">
        <v>189</v>
      </c>
      <c r="G42" s="8" t="s">
        <v>99</v>
      </c>
      <c r="H42" s="8" t="s">
        <v>25</v>
      </c>
    </row>
    <row r="43" customFormat="false" ht="15" hidden="false" customHeight="false" outlineLevel="0" collapsed="false">
      <c r="A43" s="8" t="s">
        <v>190</v>
      </c>
      <c r="B43" s="8" t="s">
        <v>191</v>
      </c>
      <c r="C43" s="8" t="s">
        <v>11</v>
      </c>
      <c r="D43" s="8" t="s">
        <v>192</v>
      </c>
      <c r="E43" s="8" t="s">
        <v>57</v>
      </c>
      <c r="F43" s="8"/>
      <c r="G43" s="8" t="s">
        <v>53</v>
      </c>
      <c r="H43" s="8" t="s">
        <v>27</v>
      </c>
    </row>
    <row r="44" customFormat="false" ht="15" hidden="false" customHeight="false" outlineLevel="0" collapsed="false">
      <c r="A44" s="8" t="s">
        <v>193</v>
      </c>
      <c r="B44" s="8" t="s">
        <v>194</v>
      </c>
      <c r="C44" s="8" t="s">
        <v>14</v>
      </c>
      <c r="D44" s="8" t="s">
        <v>195</v>
      </c>
      <c r="E44" s="8" t="s">
        <v>57</v>
      </c>
      <c r="F44" s="8"/>
      <c r="G44" s="8" t="s">
        <v>61</v>
      </c>
      <c r="H44" s="8" t="s">
        <v>25</v>
      </c>
    </row>
    <row r="45" customFormat="false" ht="15" hidden="false" customHeight="false" outlineLevel="0" collapsed="false">
      <c r="A45" s="8" t="s">
        <v>196</v>
      </c>
      <c r="B45" s="8" t="s">
        <v>197</v>
      </c>
      <c r="C45" s="8" t="s">
        <v>19</v>
      </c>
      <c r="D45" s="8" t="s">
        <v>198</v>
      </c>
      <c r="E45" s="8" t="s">
        <v>57</v>
      </c>
      <c r="F45" s="8"/>
      <c r="G45" s="8" t="s">
        <v>99</v>
      </c>
      <c r="H45" s="8" t="s">
        <v>24</v>
      </c>
    </row>
    <row r="46" customFormat="false" ht="15" hidden="false" customHeight="false" outlineLevel="0" collapsed="false">
      <c r="A46" s="8" t="s">
        <v>199</v>
      </c>
      <c r="B46" s="8" t="s">
        <v>200</v>
      </c>
      <c r="C46" s="8" t="s">
        <v>15</v>
      </c>
      <c r="D46" s="8" t="s">
        <v>201</v>
      </c>
      <c r="E46" s="8" t="s">
        <v>57</v>
      </c>
      <c r="F46" s="8"/>
      <c r="G46" s="8" t="s">
        <v>99</v>
      </c>
      <c r="H46" s="8" t="s">
        <v>25</v>
      </c>
    </row>
    <row r="47" customFormat="false" ht="15" hidden="false" customHeight="false" outlineLevel="0" collapsed="false">
      <c r="A47" s="8" t="s">
        <v>202</v>
      </c>
      <c r="B47" s="8" t="s">
        <v>203</v>
      </c>
      <c r="C47" s="8" t="s">
        <v>17</v>
      </c>
      <c r="D47" s="8" t="s">
        <v>204</v>
      </c>
      <c r="E47" s="8" t="s">
        <v>57</v>
      </c>
      <c r="F47" s="8"/>
      <c r="G47" s="8" t="s">
        <v>61</v>
      </c>
      <c r="H47" s="8" t="s">
        <v>26</v>
      </c>
    </row>
    <row r="48" customFormat="false" ht="15" hidden="false" customHeight="false" outlineLevel="0" collapsed="false">
      <c r="A48" s="8" t="s">
        <v>205</v>
      </c>
      <c r="B48" s="8" t="s">
        <v>206</v>
      </c>
      <c r="C48" s="8" t="s">
        <v>19</v>
      </c>
      <c r="D48" s="8" t="s">
        <v>207</v>
      </c>
      <c r="E48" s="8" t="s">
        <v>57</v>
      </c>
      <c r="F48" s="8"/>
      <c r="G48" s="8" t="s">
        <v>53</v>
      </c>
      <c r="H48" s="8" t="s">
        <v>25</v>
      </c>
    </row>
    <row r="49" customFormat="false" ht="15" hidden="false" customHeight="false" outlineLevel="0" collapsed="false">
      <c r="A49" s="8" t="s">
        <v>208</v>
      </c>
      <c r="B49" s="8" t="s">
        <v>209</v>
      </c>
      <c r="C49" s="8" t="s">
        <v>12</v>
      </c>
      <c r="D49" s="8" t="s">
        <v>210</v>
      </c>
      <c r="E49" s="8" t="s">
        <v>57</v>
      </c>
      <c r="F49" s="8"/>
      <c r="G49" s="8" t="s">
        <v>69</v>
      </c>
      <c r="H49" s="8" t="s">
        <v>24</v>
      </c>
    </row>
    <row r="50" customFormat="false" ht="15" hidden="false" customHeight="false" outlineLevel="0" collapsed="false">
      <c r="A50" s="8" t="s">
        <v>211</v>
      </c>
      <c r="B50" s="8" t="s">
        <v>212</v>
      </c>
      <c r="C50" s="8" t="s">
        <v>14</v>
      </c>
      <c r="D50" s="8" t="s">
        <v>213</v>
      </c>
      <c r="E50" s="8" t="s">
        <v>57</v>
      </c>
      <c r="F50" s="8"/>
      <c r="G50" s="8" t="s">
        <v>65</v>
      </c>
      <c r="H50" s="8" t="s">
        <v>25</v>
      </c>
    </row>
    <row r="51" customFormat="false" ht="15" hidden="false" customHeight="false" outlineLevel="0" collapsed="false">
      <c r="A51" s="8" t="s">
        <v>214</v>
      </c>
      <c r="B51" s="8" t="s">
        <v>215</v>
      </c>
      <c r="C51" s="8" t="s">
        <v>14</v>
      </c>
      <c r="D51" s="8" t="s">
        <v>216</v>
      </c>
      <c r="E51" s="8" t="s">
        <v>57</v>
      </c>
      <c r="F51" s="8"/>
      <c r="G51" s="8" t="s">
        <v>53</v>
      </c>
      <c r="H51" s="8" t="s">
        <v>27</v>
      </c>
    </row>
    <row r="52" customFormat="false" ht="15" hidden="false" customHeight="false" outlineLevel="0" collapsed="false">
      <c r="A52" s="8" t="s">
        <v>217</v>
      </c>
      <c r="B52" s="8" t="s">
        <v>59</v>
      </c>
      <c r="C52" s="8" t="s">
        <v>18</v>
      </c>
      <c r="D52" s="8" t="s">
        <v>218</v>
      </c>
      <c r="E52" s="8" t="s">
        <v>57</v>
      </c>
      <c r="F52" s="8"/>
      <c r="G52" s="8" t="s">
        <v>99</v>
      </c>
      <c r="H52" s="8" t="s">
        <v>27</v>
      </c>
    </row>
    <row r="53" customFormat="false" ht="15" hidden="false" customHeight="false" outlineLevel="0" collapsed="false">
      <c r="A53" s="8" t="s">
        <v>219</v>
      </c>
      <c r="B53" s="8" t="s">
        <v>220</v>
      </c>
      <c r="C53" s="8" t="s">
        <v>11</v>
      </c>
      <c r="D53" s="8" t="s">
        <v>221</v>
      </c>
      <c r="E53" s="8" t="s">
        <v>57</v>
      </c>
      <c r="F53" s="8"/>
      <c r="G53" s="8" t="s">
        <v>73</v>
      </c>
      <c r="H53" s="8" t="s">
        <v>26</v>
      </c>
    </row>
    <row r="54" customFormat="false" ht="15" hidden="false" customHeight="false" outlineLevel="0" collapsed="false">
      <c r="A54" s="8" t="s">
        <v>222</v>
      </c>
      <c r="B54" s="8" t="s">
        <v>223</v>
      </c>
      <c r="C54" s="8" t="s">
        <v>15</v>
      </c>
      <c r="D54" s="8" t="s">
        <v>224</v>
      </c>
      <c r="E54" s="8" t="s">
        <v>57</v>
      </c>
      <c r="F54" s="8"/>
      <c r="G54" s="8" t="s">
        <v>53</v>
      </c>
      <c r="H54" s="8" t="s">
        <v>25</v>
      </c>
    </row>
    <row r="55" customFormat="false" ht="15" hidden="false" customHeight="false" outlineLevel="0" collapsed="false">
      <c r="A55" s="8" t="s">
        <v>225</v>
      </c>
      <c r="B55" s="8" t="s">
        <v>226</v>
      </c>
      <c r="C55" s="8" t="s">
        <v>12</v>
      </c>
      <c r="D55" s="8" t="s">
        <v>227</v>
      </c>
      <c r="E55" s="8" t="s">
        <v>57</v>
      </c>
      <c r="F55" s="8"/>
      <c r="G55" s="8" t="s">
        <v>78</v>
      </c>
      <c r="H55" s="8" t="s">
        <v>26</v>
      </c>
    </row>
    <row r="56" customFormat="false" ht="15" hidden="false" customHeight="false" outlineLevel="0" collapsed="false">
      <c r="A56" s="8" t="s">
        <v>228</v>
      </c>
      <c r="B56" s="8" t="s">
        <v>229</v>
      </c>
      <c r="C56" s="8" t="s">
        <v>18</v>
      </c>
      <c r="D56" s="8" t="s">
        <v>230</v>
      </c>
      <c r="E56" s="8" t="s">
        <v>57</v>
      </c>
      <c r="F56" s="8"/>
      <c r="G56" s="8" t="s">
        <v>78</v>
      </c>
      <c r="H56" s="8" t="s">
        <v>25</v>
      </c>
    </row>
    <row r="57" customFormat="false" ht="15" hidden="false" customHeight="false" outlineLevel="0" collapsed="false">
      <c r="A57" s="8" t="s">
        <v>231</v>
      </c>
      <c r="B57" s="8" t="s">
        <v>121</v>
      </c>
      <c r="C57" s="8" t="s">
        <v>11</v>
      </c>
      <c r="D57" s="8" t="s">
        <v>232</v>
      </c>
      <c r="E57" s="8" t="s">
        <v>57</v>
      </c>
      <c r="F57" s="8"/>
      <c r="G57" s="8" t="s">
        <v>65</v>
      </c>
      <c r="H57" s="8" t="s">
        <v>25</v>
      </c>
    </row>
    <row r="58" customFormat="false" ht="15" hidden="false" customHeight="false" outlineLevel="0" collapsed="false">
      <c r="A58" s="8" t="s">
        <v>233</v>
      </c>
      <c r="B58" s="8" t="s">
        <v>234</v>
      </c>
      <c r="C58" s="8" t="s">
        <v>18</v>
      </c>
      <c r="D58" s="8" t="s">
        <v>235</v>
      </c>
      <c r="E58" s="8" t="s">
        <v>57</v>
      </c>
      <c r="F58" s="8"/>
      <c r="G58" s="8" t="s">
        <v>61</v>
      </c>
      <c r="H58" s="8" t="s">
        <v>25</v>
      </c>
    </row>
    <row r="59" customFormat="false" ht="15" hidden="false" customHeight="false" outlineLevel="0" collapsed="false">
      <c r="A59" s="8" t="s">
        <v>236</v>
      </c>
      <c r="B59" s="8" t="s">
        <v>237</v>
      </c>
      <c r="C59" s="8" t="s">
        <v>15</v>
      </c>
      <c r="D59" s="8" t="s">
        <v>238</v>
      </c>
      <c r="E59" s="8" t="s">
        <v>57</v>
      </c>
      <c r="F59" s="8"/>
      <c r="G59" s="8" t="s">
        <v>73</v>
      </c>
      <c r="H59" s="8" t="s">
        <v>26</v>
      </c>
    </row>
    <row r="60" customFormat="false" ht="15" hidden="false" customHeight="false" outlineLevel="0" collapsed="false">
      <c r="A60" s="8" t="s">
        <v>239</v>
      </c>
      <c r="B60" s="8" t="s">
        <v>240</v>
      </c>
      <c r="C60" s="8" t="s">
        <v>17</v>
      </c>
      <c r="D60" s="8" t="s">
        <v>182</v>
      </c>
      <c r="E60" s="8" t="s">
        <v>57</v>
      </c>
      <c r="F60" s="8"/>
      <c r="G60" s="8" t="s">
        <v>99</v>
      </c>
      <c r="H60" s="8" t="s">
        <v>27</v>
      </c>
    </row>
    <row r="61" customFormat="false" ht="15" hidden="false" customHeight="false" outlineLevel="0" collapsed="false">
      <c r="A61" s="8" t="s">
        <v>241</v>
      </c>
      <c r="B61" s="8" t="s">
        <v>242</v>
      </c>
      <c r="C61" s="8" t="s">
        <v>13</v>
      </c>
      <c r="D61" s="8" t="s">
        <v>243</v>
      </c>
      <c r="E61" s="8" t="s">
        <v>57</v>
      </c>
      <c r="F61" s="8"/>
      <c r="G61" s="8" t="s">
        <v>73</v>
      </c>
      <c r="H61" s="8" t="s">
        <v>24</v>
      </c>
    </row>
    <row r="62" customFormat="false" ht="15" hidden="false" customHeight="false" outlineLevel="0" collapsed="false">
      <c r="A62" s="8" t="s">
        <v>244</v>
      </c>
      <c r="B62" s="8" t="s">
        <v>245</v>
      </c>
      <c r="C62" s="8" t="s">
        <v>18</v>
      </c>
      <c r="D62" s="8" t="s">
        <v>246</v>
      </c>
      <c r="E62" s="8" t="s">
        <v>57</v>
      </c>
      <c r="F62" s="8"/>
      <c r="G62" s="8" t="s">
        <v>73</v>
      </c>
      <c r="H62" s="8" t="s">
        <v>25</v>
      </c>
    </row>
    <row r="63" customFormat="false" ht="15" hidden="false" customHeight="false" outlineLevel="0" collapsed="false">
      <c r="A63" s="8" t="s">
        <v>247</v>
      </c>
      <c r="B63" s="8" t="s">
        <v>248</v>
      </c>
      <c r="C63" s="8" t="s">
        <v>12</v>
      </c>
      <c r="D63" s="8" t="s">
        <v>249</v>
      </c>
      <c r="E63" s="8" t="s">
        <v>57</v>
      </c>
      <c r="F63" s="8"/>
      <c r="G63" s="8" t="s">
        <v>61</v>
      </c>
      <c r="H63" s="8" t="s">
        <v>25</v>
      </c>
    </row>
    <row r="64" customFormat="false" ht="15" hidden="false" customHeight="false" outlineLevel="0" collapsed="false">
      <c r="A64" s="8" t="s">
        <v>250</v>
      </c>
      <c r="B64" s="8" t="s">
        <v>93</v>
      </c>
      <c r="C64" s="8" t="s">
        <v>16</v>
      </c>
      <c r="D64" s="8" t="s">
        <v>251</v>
      </c>
      <c r="E64" s="8" t="s">
        <v>57</v>
      </c>
      <c r="F64" s="8"/>
      <c r="G64" s="8" t="s">
        <v>61</v>
      </c>
      <c r="H64" s="8" t="s">
        <v>25</v>
      </c>
    </row>
    <row r="65" customFormat="false" ht="15" hidden="false" customHeight="false" outlineLevel="0" collapsed="false">
      <c r="A65" s="8" t="s">
        <v>252</v>
      </c>
      <c r="B65" s="8" t="s">
        <v>101</v>
      </c>
      <c r="C65" s="8" t="s">
        <v>11</v>
      </c>
      <c r="D65" s="8" t="s">
        <v>253</v>
      </c>
      <c r="E65" s="8" t="s">
        <v>57</v>
      </c>
      <c r="F65" s="8"/>
      <c r="G65" s="8" t="s">
        <v>61</v>
      </c>
      <c r="H65" s="8" t="s">
        <v>25</v>
      </c>
    </row>
    <row r="66" customFormat="false" ht="15" hidden="false" customHeight="false" outlineLevel="0" collapsed="false">
      <c r="A66" s="8" t="s">
        <v>254</v>
      </c>
      <c r="B66" s="8" t="s">
        <v>255</v>
      </c>
      <c r="C66" s="8" t="s">
        <v>15</v>
      </c>
      <c r="D66" s="8" t="s">
        <v>256</v>
      </c>
      <c r="E66" s="8" t="s">
        <v>57</v>
      </c>
      <c r="F66" s="8"/>
      <c r="G66" s="8" t="s">
        <v>99</v>
      </c>
      <c r="H66" s="8" t="s">
        <v>24</v>
      </c>
    </row>
    <row r="67" customFormat="false" ht="15" hidden="false" customHeight="false" outlineLevel="0" collapsed="false">
      <c r="A67" s="8" t="s">
        <v>257</v>
      </c>
      <c r="B67" s="8" t="s">
        <v>258</v>
      </c>
      <c r="C67" s="8" t="s">
        <v>18</v>
      </c>
      <c r="D67" s="8" t="s">
        <v>259</v>
      </c>
      <c r="E67" s="8" t="s">
        <v>57</v>
      </c>
      <c r="F67" s="8"/>
      <c r="G67" s="8" t="s">
        <v>61</v>
      </c>
      <c r="H67" s="8" t="s">
        <v>27</v>
      </c>
    </row>
    <row r="68" customFormat="false" ht="15" hidden="false" customHeight="false" outlineLevel="0" collapsed="false">
      <c r="A68" s="8" t="s">
        <v>260</v>
      </c>
      <c r="B68" s="8" t="s">
        <v>261</v>
      </c>
      <c r="C68" s="8" t="s">
        <v>12</v>
      </c>
      <c r="D68" s="8" t="s">
        <v>262</v>
      </c>
      <c r="E68" s="8" t="s">
        <v>57</v>
      </c>
      <c r="F68" s="8"/>
      <c r="G68" s="8" t="s">
        <v>99</v>
      </c>
      <c r="H68" s="8" t="s">
        <v>25</v>
      </c>
    </row>
    <row r="69" customFormat="false" ht="15" hidden="false" customHeight="false" outlineLevel="0" collapsed="false">
      <c r="A69" s="8" t="s">
        <v>263</v>
      </c>
      <c r="B69" s="8" t="s">
        <v>264</v>
      </c>
      <c r="C69" s="8" t="s">
        <v>11</v>
      </c>
      <c r="D69" s="8" t="s">
        <v>265</v>
      </c>
      <c r="E69" s="8" t="s">
        <v>57</v>
      </c>
      <c r="F69" s="8"/>
      <c r="G69" s="8" t="s">
        <v>53</v>
      </c>
      <c r="H69" s="8" t="s">
        <v>26</v>
      </c>
    </row>
    <row r="70" customFormat="false" ht="15" hidden="false" customHeight="false" outlineLevel="0" collapsed="false">
      <c r="A70" s="8" t="s">
        <v>266</v>
      </c>
      <c r="B70" s="8" t="s">
        <v>267</v>
      </c>
      <c r="C70" s="8" t="s">
        <v>17</v>
      </c>
      <c r="D70" s="8" t="s">
        <v>268</v>
      </c>
      <c r="E70" s="8" t="s">
        <v>57</v>
      </c>
      <c r="F70" s="8"/>
      <c r="G70" s="8" t="s">
        <v>61</v>
      </c>
      <c r="H70" s="8" t="s">
        <v>24</v>
      </c>
    </row>
    <row r="71" customFormat="false" ht="15" hidden="false" customHeight="false" outlineLevel="0" collapsed="false">
      <c r="A71" s="8" t="s">
        <v>269</v>
      </c>
      <c r="B71" s="8" t="s">
        <v>270</v>
      </c>
      <c r="C71" s="8" t="s">
        <v>14</v>
      </c>
      <c r="D71" s="8" t="s">
        <v>271</v>
      </c>
      <c r="E71" s="8" t="s">
        <v>57</v>
      </c>
      <c r="F71" s="8"/>
      <c r="G71" s="8" t="s">
        <v>53</v>
      </c>
      <c r="H71" s="8" t="s">
        <v>25</v>
      </c>
    </row>
    <row r="72" customFormat="false" ht="15" hidden="false" customHeight="false" outlineLevel="0" collapsed="false">
      <c r="A72" s="8" t="s">
        <v>272</v>
      </c>
      <c r="B72" s="8" t="s">
        <v>273</v>
      </c>
      <c r="C72" s="8" t="s">
        <v>11</v>
      </c>
      <c r="D72" s="8" t="s">
        <v>274</v>
      </c>
      <c r="E72" s="8" t="s">
        <v>57</v>
      </c>
      <c r="F72" s="8"/>
      <c r="G72" s="8" t="s">
        <v>73</v>
      </c>
      <c r="H72" s="8" t="s">
        <v>27</v>
      </c>
    </row>
    <row r="73" customFormat="false" ht="15" hidden="false" customHeight="false" outlineLevel="0" collapsed="false">
      <c r="A73" s="8" t="s">
        <v>275</v>
      </c>
      <c r="B73" s="8" t="s">
        <v>114</v>
      </c>
      <c r="C73" s="8" t="s">
        <v>11</v>
      </c>
      <c r="D73" s="8" t="s">
        <v>276</v>
      </c>
      <c r="E73" s="8" t="s">
        <v>57</v>
      </c>
      <c r="F73" s="8"/>
      <c r="G73" s="8" t="s">
        <v>61</v>
      </c>
      <c r="H73" s="8" t="s">
        <v>25</v>
      </c>
    </row>
    <row r="74" customFormat="false" ht="15" hidden="false" customHeight="false" outlineLevel="0" collapsed="false">
      <c r="A74" s="8" t="s">
        <v>277</v>
      </c>
      <c r="B74" s="8" t="s">
        <v>278</v>
      </c>
      <c r="C74" s="8" t="s">
        <v>14</v>
      </c>
      <c r="D74" s="8" t="s">
        <v>279</v>
      </c>
      <c r="E74" s="8" t="s">
        <v>57</v>
      </c>
      <c r="F74" s="8"/>
      <c r="G74" s="8" t="s">
        <v>73</v>
      </c>
      <c r="H74" s="8" t="s">
        <v>25</v>
      </c>
    </row>
    <row r="75" customFormat="false" ht="15" hidden="false" customHeight="false" outlineLevel="0" collapsed="false">
      <c r="A75" s="8" t="s">
        <v>280</v>
      </c>
      <c r="B75" s="8" t="s">
        <v>281</v>
      </c>
      <c r="C75" s="8" t="s">
        <v>19</v>
      </c>
      <c r="D75" s="8" t="s">
        <v>282</v>
      </c>
      <c r="E75" s="8" t="s">
        <v>57</v>
      </c>
      <c r="F75" s="8"/>
      <c r="G75" s="8" t="s">
        <v>73</v>
      </c>
      <c r="H75" s="8" t="s">
        <v>24</v>
      </c>
    </row>
    <row r="76" customFormat="false" ht="15" hidden="false" customHeight="false" outlineLevel="0" collapsed="false">
      <c r="A76" s="8" t="s">
        <v>283</v>
      </c>
      <c r="B76" s="8" t="s">
        <v>284</v>
      </c>
      <c r="C76" s="8" t="s">
        <v>18</v>
      </c>
      <c r="D76" s="8" t="s">
        <v>285</v>
      </c>
      <c r="E76" s="8" t="s">
        <v>57</v>
      </c>
      <c r="F76" s="8"/>
      <c r="G76" s="8" t="s">
        <v>65</v>
      </c>
      <c r="H76" s="8" t="s">
        <v>26</v>
      </c>
    </row>
    <row r="77" customFormat="false" ht="15" hidden="false" customHeight="false" outlineLevel="0" collapsed="false">
      <c r="A77" s="8" t="s">
        <v>286</v>
      </c>
      <c r="B77" s="8" t="s">
        <v>49</v>
      </c>
      <c r="C77" s="8" t="s">
        <v>17</v>
      </c>
      <c r="D77" s="8" t="s">
        <v>265</v>
      </c>
      <c r="E77" s="8" t="s">
        <v>57</v>
      </c>
      <c r="F77" s="8"/>
      <c r="G77" s="8" t="s">
        <v>99</v>
      </c>
      <c r="H77" s="8" t="s">
        <v>25</v>
      </c>
    </row>
    <row r="78" customFormat="false" ht="15" hidden="false" customHeight="false" outlineLevel="0" collapsed="false">
      <c r="A78" s="8" t="s">
        <v>287</v>
      </c>
      <c r="B78" s="8" t="s">
        <v>288</v>
      </c>
      <c r="C78" s="8" t="s">
        <v>13</v>
      </c>
      <c r="D78" s="8" t="s">
        <v>289</v>
      </c>
      <c r="E78" s="8" t="s">
        <v>57</v>
      </c>
      <c r="F78" s="8"/>
      <c r="G78" s="8" t="s">
        <v>73</v>
      </c>
      <c r="H78" s="8" t="s">
        <v>26</v>
      </c>
    </row>
    <row r="79" customFormat="false" ht="15" hidden="false" customHeight="false" outlineLevel="0" collapsed="false">
      <c r="A79" s="8" t="s">
        <v>290</v>
      </c>
      <c r="B79" s="8" t="s">
        <v>291</v>
      </c>
      <c r="C79" s="8" t="s">
        <v>13</v>
      </c>
      <c r="D79" s="8" t="s">
        <v>292</v>
      </c>
      <c r="E79" s="8" t="s">
        <v>57</v>
      </c>
      <c r="F79" s="8"/>
      <c r="G79" s="8" t="s">
        <v>99</v>
      </c>
      <c r="H79" s="8" t="s">
        <v>25</v>
      </c>
    </row>
    <row r="80" customFormat="false" ht="15" hidden="false" customHeight="false" outlineLevel="0" collapsed="false">
      <c r="A80" s="8" t="s">
        <v>293</v>
      </c>
      <c r="B80" s="8" t="s">
        <v>294</v>
      </c>
      <c r="C80" s="8" t="s">
        <v>12</v>
      </c>
      <c r="D80" s="8" t="s">
        <v>295</v>
      </c>
      <c r="E80" s="8" t="s">
        <v>57</v>
      </c>
      <c r="F80" s="8"/>
      <c r="G80" s="8" t="s">
        <v>61</v>
      </c>
      <c r="H80" s="8" t="s">
        <v>25</v>
      </c>
    </row>
    <row r="81" customFormat="false" ht="15" hidden="false" customHeight="false" outlineLevel="0" collapsed="false">
      <c r="A81" s="8" t="s">
        <v>296</v>
      </c>
      <c r="B81" s="8" t="s">
        <v>297</v>
      </c>
      <c r="C81" s="8" t="s">
        <v>18</v>
      </c>
      <c r="D81" s="8" t="s">
        <v>298</v>
      </c>
      <c r="E81" s="8" t="s">
        <v>57</v>
      </c>
      <c r="F81" s="8"/>
      <c r="G81" s="8" t="s">
        <v>99</v>
      </c>
      <c r="H81" s="8" t="s">
        <v>26</v>
      </c>
    </row>
    <row r="82" customFormat="false" ht="15" hidden="false" customHeight="false" outlineLevel="0" collapsed="false">
      <c r="A82" s="8" t="s">
        <v>299</v>
      </c>
      <c r="B82" s="8" t="s">
        <v>300</v>
      </c>
      <c r="C82" s="8" t="s">
        <v>16</v>
      </c>
      <c r="D82" s="8" t="s">
        <v>301</v>
      </c>
      <c r="E82" s="8" t="s">
        <v>57</v>
      </c>
      <c r="F82" s="8"/>
      <c r="G82" s="8" t="s">
        <v>73</v>
      </c>
      <c r="H82" s="8" t="s">
        <v>25</v>
      </c>
    </row>
    <row r="83" customFormat="false" ht="15" hidden="false" customHeight="false" outlineLevel="0" collapsed="false">
      <c r="A83" s="8" t="s">
        <v>302</v>
      </c>
      <c r="B83" s="8" t="s">
        <v>303</v>
      </c>
      <c r="C83" s="8" t="s">
        <v>13</v>
      </c>
      <c r="D83" s="8" t="s">
        <v>304</v>
      </c>
      <c r="E83" s="8" t="s">
        <v>57</v>
      </c>
      <c r="F83" s="8"/>
      <c r="G83" s="8" t="s">
        <v>78</v>
      </c>
      <c r="H83" s="8" t="s">
        <v>25</v>
      </c>
    </row>
    <row r="84" customFormat="false" ht="15" hidden="false" customHeight="false" outlineLevel="0" collapsed="false">
      <c r="A84" s="8" t="s">
        <v>305</v>
      </c>
      <c r="B84" s="8" t="s">
        <v>306</v>
      </c>
      <c r="C84" s="8" t="s">
        <v>16</v>
      </c>
      <c r="D84" s="8" t="s">
        <v>307</v>
      </c>
      <c r="E84" s="8" t="s">
        <v>57</v>
      </c>
      <c r="F84" s="8"/>
      <c r="G84" s="8" t="s">
        <v>61</v>
      </c>
      <c r="H84" s="8" t="s">
        <v>25</v>
      </c>
    </row>
    <row r="85" customFormat="false" ht="15" hidden="false" customHeight="false" outlineLevel="0" collapsed="false">
      <c r="A85" s="8" t="s">
        <v>308</v>
      </c>
      <c r="B85" s="8" t="s">
        <v>234</v>
      </c>
      <c r="C85" s="8" t="s">
        <v>15</v>
      </c>
      <c r="D85" s="8" t="s">
        <v>309</v>
      </c>
      <c r="E85" s="8" t="s">
        <v>57</v>
      </c>
      <c r="F85" s="8"/>
      <c r="G85" s="8" t="s">
        <v>78</v>
      </c>
      <c r="H85" s="8" t="s">
        <v>24</v>
      </c>
    </row>
    <row r="86" customFormat="false" ht="15" hidden="false" customHeight="false" outlineLevel="0" collapsed="false">
      <c r="A86" s="8" t="s">
        <v>310</v>
      </c>
      <c r="B86" s="8" t="s">
        <v>311</v>
      </c>
      <c r="C86" s="8" t="s">
        <v>12</v>
      </c>
      <c r="D86" s="8" t="s">
        <v>312</v>
      </c>
      <c r="E86" s="8" t="s">
        <v>57</v>
      </c>
      <c r="F86" s="8"/>
      <c r="G86" s="8" t="s">
        <v>53</v>
      </c>
      <c r="H86" s="8" t="s">
        <v>25</v>
      </c>
    </row>
    <row r="87" customFormat="false" ht="15" hidden="false" customHeight="false" outlineLevel="0" collapsed="false">
      <c r="A87" s="8" t="s">
        <v>313</v>
      </c>
      <c r="B87" s="8" t="s">
        <v>281</v>
      </c>
      <c r="C87" s="8" t="s">
        <v>17</v>
      </c>
      <c r="D87" s="8" t="s">
        <v>314</v>
      </c>
      <c r="E87" s="8" t="s">
        <v>57</v>
      </c>
      <c r="F87" s="8"/>
      <c r="G87" s="8" t="s">
        <v>73</v>
      </c>
      <c r="H87" s="8" t="s">
        <v>25</v>
      </c>
    </row>
    <row r="88" customFormat="false" ht="15" hidden="false" customHeight="false" outlineLevel="0" collapsed="false">
      <c r="A88" s="8" t="s">
        <v>315</v>
      </c>
      <c r="B88" s="8" t="s">
        <v>316</v>
      </c>
      <c r="C88" s="8" t="s">
        <v>17</v>
      </c>
      <c r="D88" s="8" t="s">
        <v>317</v>
      </c>
      <c r="E88" s="8" t="s">
        <v>57</v>
      </c>
      <c r="F88" s="8"/>
      <c r="G88" s="8" t="s">
        <v>69</v>
      </c>
      <c r="H88" s="8" t="s">
        <v>24</v>
      </c>
    </row>
    <row r="89" customFormat="false" ht="15" hidden="false" customHeight="false" outlineLevel="0" collapsed="false">
      <c r="A89" s="8" t="s">
        <v>318</v>
      </c>
      <c r="B89" s="8" t="s">
        <v>319</v>
      </c>
      <c r="C89" s="8" t="s">
        <v>17</v>
      </c>
      <c r="D89" s="8" t="s">
        <v>320</v>
      </c>
      <c r="E89" s="8" t="s">
        <v>51</v>
      </c>
      <c r="F89" s="8" t="s">
        <v>321</v>
      </c>
      <c r="G89" s="8" t="s">
        <v>53</v>
      </c>
      <c r="H89" s="8" t="s">
        <v>26</v>
      </c>
    </row>
    <row r="90" customFormat="false" ht="15" hidden="false" customHeight="false" outlineLevel="0" collapsed="false">
      <c r="A90" s="8" t="s">
        <v>322</v>
      </c>
      <c r="B90" s="8" t="s">
        <v>323</v>
      </c>
      <c r="C90" s="8" t="s">
        <v>15</v>
      </c>
      <c r="D90" s="8" t="s">
        <v>324</v>
      </c>
      <c r="E90" s="8" t="s">
        <v>57</v>
      </c>
      <c r="F90" s="8"/>
      <c r="G90" s="8" t="s">
        <v>61</v>
      </c>
      <c r="H90" s="8" t="s">
        <v>24</v>
      </c>
    </row>
    <row r="91" customFormat="false" ht="15" hidden="false" customHeight="false" outlineLevel="0" collapsed="false">
      <c r="A91" s="8" t="s">
        <v>325</v>
      </c>
      <c r="B91" s="8" t="s">
        <v>326</v>
      </c>
      <c r="C91" s="8" t="s">
        <v>11</v>
      </c>
      <c r="D91" s="8" t="s">
        <v>327</v>
      </c>
      <c r="E91" s="8" t="s">
        <v>57</v>
      </c>
      <c r="F91" s="8"/>
      <c r="G91" s="8" t="s">
        <v>99</v>
      </c>
      <c r="H91" s="8" t="s">
        <v>27</v>
      </c>
    </row>
    <row r="92" customFormat="false" ht="15" hidden="false" customHeight="false" outlineLevel="0" collapsed="false">
      <c r="A92" s="8" t="s">
        <v>328</v>
      </c>
      <c r="B92" s="8" t="s">
        <v>329</v>
      </c>
      <c r="C92" s="8" t="s">
        <v>14</v>
      </c>
      <c r="D92" s="8" t="s">
        <v>330</v>
      </c>
      <c r="E92" s="8" t="s">
        <v>57</v>
      </c>
      <c r="F92" s="8"/>
      <c r="G92" s="8" t="s">
        <v>65</v>
      </c>
      <c r="H92" s="8" t="s">
        <v>26</v>
      </c>
    </row>
    <row r="93" customFormat="false" ht="15" hidden="false" customHeight="false" outlineLevel="0" collapsed="false">
      <c r="A93" s="8" t="s">
        <v>331</v>
      </c>
      <c r="B93" s="8" t="s">
        <v>332</v>
      </c>
      <c r="C93" s="8" t="s">
        <v>11</v>
      </c>
      <c r="D93" s="8" t="s">
        <v>333</v>
      </c>
      <c r="E93" s="8" t="s">
        <v>57</v>
      </c>
      <c r="F93" s="8"/>
      <c r="G93" s="8" t="s">
        <v>78</v>
      </c>
      <c r="H93" s="8" t="s">
        <v>27</v>
      </c>
    </row>
    <row r="94" customFormat="false" ht="15" hidden="false" customHeight="false" outlineLevel="0" collapsed="false">
      <c r="A94" s="8" t="s">
        <v>334</v>
      </c>
      <c r="B94" s="8" t="s">
        <v>335</v>
      </c>
      <c r="C94" s="8" t="s">
        <v>19</v>
      </c>
      <c r="D94" s="8" t="s">
        <v>336</v>
      </c>
      <c r="E94" s="8" t="s">
        <v>57</v>
      </c>
      <c r="F94" s="8"/>
      <c r="G94" s="8" t="s">
        <v>78</v>
      </c>
      <c r="H94" s="8" t="s">
        <v>24</v>
      </c>
    </row>
    <row r="95" customFormat="false" ht="15" hidden="false" customHeight="false" outlineLevel="0" collapsed="false">
      <c r="A95" s="8" t="s">
        <v>337</v>
      </c>
      <c r="B95" s="8" t="s">
        <v>59</v>
      </c>
      <c r="C95" s="8" t="s">
        <v>13</v>
      </c>
      <c r="D95" s="8" t="s">
        <v>338</v>
      </c>
      <c r="E95" s="8" t="s">
        <v>57</v>
      </c>
      <c r="F95" s="8"/>
      <c r="G95" s="8" t="s">
        <v>69</v>
      </c>
      <c r="H95" s="8" t="s">
        <v>24</v>
      </c>
    </row>
    <row r="96" customFormat="false" ht="15" hidden="false" customHeight="false" outlineLevel="0" collapsed="false">
      <c r="A96" s="8" t="s">
        <v>339</v>
      </c>
      <c r="B96" s="8" t="s">
        <v>340</v>
      </c>
      <c r="C96" s="8" t="s">
        <v>16</v>
      </c>
      <c r="D96" s="8" t="s">
        <v>341</v>
      </c>
      <c r="E96" s="8" t="s">
        <v>57</v>
      </c>
      <c r="F96" s="8"/>
      <c r="G96" s="8" t="s">
        <v>61</v>
      </c>
      <c r="H96" s="8" t="s">
        <v>24</v>
      </c>
    </row>
    <row r="97" customFormat="false" ht="15" hidden="false" customHeight="false" outlineLevel="0" collapsed="false">
      <c r="A97" s="8" t="s">
        <v>342</v>
      </c>
      <c r="B97" s="8" t="s">
        <v>343</v>
      </c>
      <c r="C97" s="8" t="s">
        <v>18</v>
      </c>
      <c r="D97" s="8" t="s">
        <v>344</v>
      </c>
      <c r="E97" s="8" t="s">
        <v>57</v>
      </c>
      <c r="F97" s="8"/>
      <c r="G97" s="8" t="s">
        <v>73</v>
      </c>
      <c r="H97" s="8" t="s">
        <v>24</v>
      </c>
    </row>
    <row r="98" customFormat="false" ht="15" hidden="false" customHeight="false" outlineLevel="0" collapsed="false">
      <c r="A98" s="8" t="s">
        <v>345</v>
      </c>
      <c r="B98" s="8" t="s">
        <v>145</v>
      </c>
      <c r="C98" s="8" t="s">
        <v>12</v>
      </c>
      <c r="D98" s="8" t="s">
        <v>346</v>
      </c>
      <c r="E98" s="8" t="s">
        <v>57</v>
      </c>
      <c r="F98" s="8"/>
      <c r="G98" s="8" t="s">
        <v>53</v>
      </c>
      <c r="H98" s="8" t="s">
        <v>26</v>
      </c>
    </row>
    <row r="99" customFormat="false" ht="15" hidden="false" customHeight="false" outlineLevel="0" collapsed="false">
      <c r="A99" s="8" t="s">
        <v>347</v>
      </c>
      <c r="B99" s="8" t="s">
        <v>348</v>
      </c>
      <c r="C99" s="8" t="s">
        <v>18</v>
      </c>
      <c r="D99" s="8" t="s">
        <v>349</v>
      </c>
      <c r="E99" s="8" t="s">
        <v>57</v>
      </c>
      <c r="F99" s="8"/>
      <c r="G99" s="8" t="s">
        <v>73</v>
      </c>
      <c r="H99" s="8" t="s">
        <v>25</v>
      </c>
    </row>
    <row r="100" customFormat="false" ht="15" hidden="false" customHeight="false" outlineLevel="0" collapsed="false">
      <c r="A100" s="8" t="s">
        <v>350</v>
      </c>
      <c r="B100" s="8" t="s">
        <v>351</v>
      </c>
      <c r="C100" s="8" t="s">
        <v>15</v>
      </c>
      <c r="D100" s="8" t="s">
        <v>352</v>
      </c>
      <c r="E100" s="8" t="s">
        <v>57</v>
      </c>
      <c r="F100" s="8"/>
      <c r="G100" s="8" t="s">
        <v>78</v>
      </c>
      <c r="H100" s="8" t="s">
        <v>25</v>
      </c>
    </row>
    <row r="101" customFormat="false" ht="15" hidden="false" customHeight="false" outlineLevel="0" collapsed="false">
      <c r="A101" s="8" t="s">
        <v>353</v>
      </c>
      <c r="B101" s="8" t="s">
        <v>354</v>
      </c>
      <c r="C101" s="8" t="s">
        <v>17</v>
      </c>
      <c r="D101" s="8" t="s">
        <v>355</v>
      </c>
      <c r="E101" s="8" t="s">
        <v>57</v>
      </c>
      <c r="F101" s="8"/>
      <c r="G101" s="8" t="s">
        <v>78</v>
      </c>
      <c r="H101" s="8" t="s">
        <v>24</v>
      </c>
    </row>
    <row r="102" customFormat="false" ht="15" hidden="false" customHeight="false" outlineLevel="0" collapsed="false">
      <c r="A102" s="8" t="s">
        <v>356</v>
      </c>
      <c r="B102" s="8" t="s">
        <v>357</v>
      </c>
      <c r="C102" s="8" t="s">
        <v>18</v>
      </c>
      <c r="D102" s="8" t="s">
        <v>358</v>
      </c>
      <c r="E102" s="8" t="s">
        <v>57</v>
      </c>
      <c r="F102" s="8"/>
      <c r="G102" s="8" t="s">
        <v>65</v>
      </c>
      <c r="H102" s="8" t="s">
        <v>25</v>
      </c>
    </row>
    <row r="103" customFormat="false" ht="15" hidden="false" customHeight="false" outlineLevel="0" collapsed="false">
      <c r="A103" s="8" t="s">
        <v>359</v>
      </c>
      <c r="B103" s="8" t="s">
        <v>360</v>
      </c>
      <c r="C103" s="8" t="s">
        <v>13</v>
      </c>
      <c r="D103" s="8" t="s">
        <v>361</v>
      </c>
      <c r="E103" s="8" t="s">
        <v>57</v>
      </c>
      <c r="F103" s="8"/>
      <c r="G103" s="8" t="s">
        <v>53</v>
      </c>
      <c r="H103" s="8" t="s">
        <v>27</v>
      </c>
    </row>
    <row r="104" customFormat="false" ht="15" hidden="false" customHeight="false" outlineLevel="0" collapsed="false">
      <c r="A104" s="8" t="s">
        <v>362</v>
      </c>
      <c r="B104" s="8" t="s">
        <v>363</v>
      </c>
      <c r="C104" s="8" t="s">
        <v>16</v>
      </c>
      <c r="D104" s="8" t="s">
        <v>364</v>
      </c>
      <c r="E104" s="8" t="s">
        <v>57</v>
      </c>
      <c r="F104" s="8"/>
      <c r="G104" s="8" t="s">
        <v>99</v>
      </c>
      <c r="H104" s="8" t="s">
        <v>26</v>
      </c>
    </row>
    <row r="105" customFormat="false" ht="15" hidden="false" customHeight="false" outlineLevel="0" collapsed="false">
      <c r="A105" s="8" t="s">
        <v>365</v>
      </c>
      <c r="B105" s="8" t="s">
        <v>59</v>
      </c>
      <c r="C105" s="8" t="s">
        <v>15</v>
      </c>
      <c r="D105" s="8" t="s">
        <v>366</v>
      </c>
      <c r="E105" s="8" t="s">
        <v>51</v>
      </c>
      <c r="F105" s="8" t="s">
        <v>367</v>
      </c>
      <c r="G105" s="8" t="s">
        <v>53</v>
      </c>
      <c r="H105" s="8" t="s">
        <v>27</v>
      </c>
    </row>
    <row r="106" customFormat="false" ht="15" hidden="false" customHeight="false" outlineLevel="0" collapsed="false">
      <c r="A106" s="8" t="s">
        <v>368</v>
      </c>
      <c r="B106" s="8" t="s">
        <v>369</v>
      </c>
      <c r="C106" s="8" t="s">
        <v>14</v>
      </c>
      <c r="D106" s="8" t="s">
        <v>370</v>
      </c>
      <c r="E106" s="8" t="s">
        <v>57</v>
      </c>
      <c r="F106" s="8"/>
      <c r="G106" s="8" t="s">
        <v>73</v>
      </c>
      <c r="H106" s="8" t="s">
        <v>24</v>
      </c>
    </row>
    <row r="107" customFormat="false" ht="15" hidden="false" customHeight="false" outlineLevel="0" collapsed="false">
      <c r="A107" s="8" t="s">
        <v>371</v>
      </c>
      <c r="B107" s="8" t="s">
        <v>372</v>
      </c>
      <c r="C107" s="8" t="s">
        <v>19</v>
      </c>
      <c r="D107" s="8" t="s">
        <v>373</v>
      </c>
      <c r="E107" s="8" t="s">
        <v>57</v>
      </c>
      <c r="F107" s="8"/>
      <c r="G107" s="8" t="s">
        <v>99</v>
      </c>
      <c r="H107" s="8" t="s">
        <v>26</v>
      </c>
    </row>
    <row r="108" customFormat="false" ht="15" hidden="false" customHeight="false" outlineLevel="0" collapsed="false">
      <c r="A108" s="8" t="s">
        <v>374</v>
      </c>
      <c r="B108" s="8" t="s">
        <v>375</v>
      </c>
      <c r="C108" s="8" t="s">
        <v>13</v>
      </c>
      <c r="D108" s="8" t="s">
        <v>376</v>
      </c>
      <c r="E108" s="8" t="s">
        <v>51</v>
      </c>
      <c r="F108" s="8" t="s">
        <v>94</v>
      </c>
      <c r="G108" s="8" t="s">
        <v>53</v>
      </c>
      <c r="H108" s="8" t="s">
        <v>25</v>
      </c>
    </row>
    <row r="109" customFormat="false" ht="15" hidden="false" customHeight="false" outlineLevel="0" collapsed="false">
      <c r="A109" s="8" t="s">
        <v>377</v>
      </c>
      <c r="B109" s="8" t="s">
        <v>378</v>
      </c>
      <c r="C109" s="8" t="s">
        <v>11</v>
      </c>
      <c r="D109" s="8" t="s">
        <v>379</v>
      </c>
      <c r="E109" s="8" t="s">
        <v>51</v>
      </c>
      <c r="F109" s="8"/>
      <c r="G109" s="8" t="s">
        <v>53</v>
      </c>
      <c r="H109" s="8" t="s">
        <v>27</v>
      </c>
    </row>
    <row r="110" customFormat="false" ht="15" hidden="false" customHeight="false" outlineLevel="0" collapsed="false">
      <c r="A110" s="8" t="s">
        <v>380</v>
      </c>
      <c r="B110" s="8" t="s">
        <v>381</v>
      </c>
      <c r="C110" s="8" t="s">
        <v>12</v>
      </c>
      <c r="D110" s="8" t="s">
        <v>382</v>
      </c>
      <c r="E110" s="8" t="s">
        <v>51</v>
      </c>
      <c r="F110" s="8"/>
      <c r="G110" s="8" t="s">
        <v>65</v>
      </c>
      <c r="H110" s="8" t="s">
        <v>27</v>
      </c>
    </row>
    <row r="111" customFormat="false" ht="15" hidden="false" customHeight="false" outlineLevel="0" collapsed="false">
      <c r="A111" s="8" t="s">
        <v>383</v>
      </c>
      <c r="B111" s="8" t="s">
        <v>384</v>
      </c>
      <c r="C111" s="8" t="s">
        <v>18</v>
      </c>
      <c r="D111" s="8" t="s">
        <v>385</v>
      </c>
      <c r="E111" s="8" t="s">
        <v>57</v>
      </c>
      <c r="F111" s="8"/>
      <c r="G111" s="8" t="s">
        <v>73</v>
      </c>
      <c r="H111" s="8" t="s">
        <v>26</v>
      </c>
    </row>
    <row r="112" customFormat="false" ht="15" hidden="false" customHeight="false" outlineLevel="0" collapsed="false">
      <c r="A112" s="8" t="s">
        <v>386</v>
      </c>
      <c r="B112" s="8" t="s">
        <v>387</v>
      </c>
      <c r="C112" s="8" t="s">
        <v>12</v>
      </c>
      <c r="D112" s="8" t="s">
        <v>146</v>
      </c>
      <c r="E112" s="8" t="s">
        <v>57</v>
      </c>
      <c r="F112" s="8"/>
      <c r="G112" s="8" t="s">
        <v>78</v>
      </c>
      <c r="H112" s="8" t="s">
        <v>25</v>
      </c>
    </row>
    <row r="113" customFormat="false" ht="15" hidden="false" customHeight="false" outlineLevel="0" collapsed="false">
      <c r="A113" s="8" t="s">
        <v>388</v>
      </c>
      <c r="B113" s="8" t="s">
        <v>118</v>
      </c>
      <c r="C113" s="8" t="s">
        <v>18</v>
      </c>
      <c r="D113" s="8" t="s">
        <v>389</v>
      </c>
      <c r="E113" s="8" t="s">
        <v>57</v>
      </c>
      <c r="F113" s="8"/>
      <c r="G113" s="8" t="s">
        <v>78</v>
      </c>
      <c r="H113" s="8" t="s">
        <v>25</v>
      </c>
    </row>
    <row r="114" customFormat="false" ht="15" hidden="false" customHeight="false" outlineLevel="0" collapsed="false">
      <c r="A114" s="8" t="s">
        <v>390</v>
      </c>
      <c r="B114" s="8" t="s">
        <v>335</v>
      </c>
      <c r="C114" s="8" t="s">
        <v>11</v>
      </c>
      <c r="D114" s="8" t="s">
        <v>391</v>
      </c>
      <c r="E114" s="8" t="s">
        <v>57</v>
      </c>
      <c r="F114" s="8"/>
      <c r="G114" s="8" t="s">
        <v>53</v>
      </c>
      <c r="H114" s="8" t="s">
        <v>24</v>
      </c>
    </row>
    <row r="115" customFormat="false" ht="15" hidden="false" customHeight="false" outlineLevel="0" collapsed="false">
      <c r="A115" s="8" t="s">
        <v>392</v>
      </c>
      <c r="B115" s="8" t="s">
        <v>153</v>
      </c>
      <c r="C115" s="8" t="s">
        <v>16</v>
      </c>
      <c r="D115" s="8" t="s">
        <v>382</v>
      </c>
      <c r="E115" s="8" t="s">
        <v>57</v>
      </c>
      <c r="F115" s="8"/>
      <c r="G115" s="8" t="s">
        <v>61</v>
      </c>
      <c r="H115" s="8" t="s">
        <v>25</v>
      </c>
    </row>
    <row r="116" customFormat="false" ht="15" hidden="false" customHeight="false" outlineLevel="0" collapsed="false">
      <c r="A116" s="8" t="s">
        <v>393</v>
      </c>
      <c r="B116" s="8" t="s">
        <v>311</v>
      </c>
      <c r="C116" s="8" t="s">
        <v>19</v>
      </c>
      <c r="D116" s="8" t="s">
        <v>394</v>
      </c>
      <c r="E116" s="8" t="s">
        <v>57</v>
      </c>
      <c r="F116" s="8"/>
      <c r="G116" s="8" t="s">
        <v>73</v>
      </c>
      <c r="H116" s="8" t="s">
        <v>25</v>
      </c>
    </row>
    <row r="117" customFormat="false" ht="15" hidden="false" customHeight="false" outlineLevel="0" collapsed="false">
      <c r="A117" s="8" t="s">
        <v>395</v>
      </c>
      <c r="B117" s="8" t="s">
        <v>396</v>
      </c>
      <c r="C117" s="8" t="s">
        <v>17</v>
      </c>
      <c r="D117" s="8" t="s">
        <v>397</v>
      </c>
      <c r="E117" s="8" t="s">
        <v>57</v>
      </c>
      <c r="F117" s="8"/>
      <c r="G117" s="8" t="s">
        <v>65</v>
      </c>
      <c r="H117" s="8" t="s">
        <v>25</v>
      </c>
    </row>
    <row r="118" customFormat="false" ht="15" hidden="false" customHeight="false" outlineLevel="0" collapsed="false">
      <c r="A118" s="8" t="s">
        <v>398</v>
      </c>
      <c r="B118" s="8" t="s">
        <v>348</v>
      </c>
      <c r="C118" s="8" t="s">
        <v>18</v>
      </c>
      <c r="D118" s="8" t="s">
        <v>399</v>
      </c>
      <c r="E118" s="8" t="s">
        <v>57</v>
      </c>
      <c r="F118" s="8"/>
      <c r="G118" s="8" t="s">
        <v>99</v>
      </c>
      <c r="H118" s="8" t="s">
        <v>26</v>
      </c>
    </row>
    <row r="119" customFormat="false" ht="15" hidden="false" customHeight="false" outlineLevel="0" collapsed="false">
      <c r="A119" s="8" t="s">
        <v>400</v>
      </c>
      <c r="B119" s="8" t="s">
        <v>384</v>
      </c>
      <c r="C119" s="8" t="s">
        <v>13</v>
      </c>
      <c r="D119" s="8" t="s">
        <v>243</v>
      </c>
      <c r="E119" s="8" t="s">
        <v>57</v>
      </c>
      <c r="F119" s="8"/>
      <c r="G119" s="8" t="s">
        <v>61</v>
      </c>
      <c r="H119" s="8" t="s">
        <v>25</v>
      </c>
    </row>
    <row r="120" customFormat="false" ht="15" hidden="false" customHeight="false" outlineLevel="0" collapsed="false">
      <c r="A120" s="8" t="s">
        <v>401</v>
      </c>
      <c r="B120" s="8" t="s">
        <v>278</v>
      </c>
      <c r="C120" s="8" t="s">
        <v>18</v>
      </c>
      <c r="D120" s="8" t="s">
        <v>402</v>
      </c>
      <c r="E120" s="8" t="s">
        <v>57</v>
      </c>
      <c r="F120" s="8"/>
      <c r="G120" s="8" t="s">
        <v>73</v>
      </c>
      <c r="H120" s="8" t="s">
        <v>26</v>
      </c>
    </row>
    <row r="121" customFormat="false" ht="15" hidden="false" customHeight="false" outlineLevel="0" collapsed="false">
      <c r="A121" s="8" t="s">
        <v>403</v>
      </c>
      <c r="B121" s="8" t="s">
        <v>404</v>
      </c>
      <c r="C121" s="8" t="s">
        <v>15</v>
      </c>
      <c r="D121" s="8" t="s">
        <v>341</v>
      </c>
      <c r="E121" s="8" t="s">
        <v>57</v>
      </c>
      <c r="F121" s="8"/>
      <c r="G121" s="8" t="s">
        <v>61</v>
      </c>
      <c r="H121" s="8" t="s">
        <v>24</v>
      </c>
    </row>
  </sheetData>
  <conditionalFormatting sqref="E2:E121">
    <cfRule type="cellIs" priority="2" operator="equal" aboveAverage="0" equalAverage="0" bottom="0" percent="0" rank="0" text="" dxfId="0">
      <formula>"Terminated"</formula>
    </cfRule>
  </conditionalFormatting>
  <conditionalFormatting sqref="C2:C121">
    <cfRule type="cellIs" priority="3" operator="equal" aboveAverage="0" equalAverage="0" bottom="0" percent="0" rank="0" text="" dxfId="1">
      <formula>"UNASSIGNED - PENDING MANAGER INPUT"</formula>
    </cfRule>
  </conditionalFormatting>
  <conditionalFormatting sqref="B2:B121">
    <cfRule type="cellIs" priority="4" operator="equal" aboveAverage="0" equalAverage="0" bottom="0" percent="0" rank="0" text="" dxfId="1">
      <formula>"UNKNOWN - PENDING HR CONFIRMATION"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7" t="s">
        <v>41</v>
      </c>
      <c r="B1" s="7" t="s">
        <v>405</v>
      </c>
      <c r="C1" s="7" t="s">
        <v>406</v>
      </c>
      <c r="D1" s="7" t="s">
        <v>407</v>
      </c>
      <c r="E1" s="7" t="s">
        <v>44</v>
      </c>
    </row>
    <row r="2" customFormat="false" ht="15" hidden="false" customHeight="false" outlineLevel="0" collapsed="false">
      <c r="A2" s="8" t="s">
        <v>66</v>
      </c>
      <c r="B2" s="8" t="s">
        <v>408</v>
      </c>
      <c r="C2" s="8" t="s">
        <v>409</v>
      </c>
      <c r="D2" s="8" t="s">
        <v>410</v>
      </c>
      <c r="E2" s="8" t="s">
        <v>411</v>
      </c>
    </row>
    <row r="3" customFormat="false" ht="15" hidden="false" customHeight="false" outlineLevel="0" collapsed="false">
      <c r="A3" s="8" t="s">
        <v>85</v>
      </c>
      <c r="B3" s="8" t="s">
        <v>412</v>
      </c>
      <c r="C3" s="8" t="s">
        <v>413</v>
      </c>
      <c r="D3" s="8" t="s">
        <v>414</v>
      </c>
      <c r="E3" s="8" t="s">
        <v>411</v>
      </c>
    </row>
    <row r="4" customFormat="false" ht="15" hidden="false" customHeight="false" outlineLevel="0" collapsed="false">
      <c r="A4" s="8" t="s">
        <v>95</v>
      </c>
      <c r="B4" s="8" t="s">
        <v>415</v>
      </c>
      <c r="C4" s="8" t="s">
        <v>416</v>
      </c>
      <c r="D4" s="8" t="s">
        <v>417</v>
      </c>
      <c r="E4" s="8" t="s">
        <v>418</v>
      </c>
    </row>
    <row r="5" customFormat="false" ht="15" hidden="false" customHeight="false" outlineLevel="0" collapsed="false">
      <c r="A5" s="8" t="s">
        <v>123</v>
      </c>
      <c r="B5" s="8" t="s">
        <v>415</v>
      </c>
      <c r="C5" s="8" t="s">
        <v>416</v>
      </c>
      <c r="D5" s="8" t="s">
        <v>417</v>
      </c>
      <c r="E5" s="8" t="s">
        <v>418</v>
      </c>
    </row>
    <row r="6" customFormat="false" ht="15" hidden="false" customHeight="false" outlineLevel="0" collapsed="false">
      <c r="A6" s="8" t="s">
        <v>144</v>
      </c>
      <c r="B6" s="8" t="s">
        <v>419</v>
      </c>
      <c r="C6" s="8" t="s">
        <v>420</v>
      </c>
      <c r="D6" s="8" t="s">
        <v>421</v>
      </c>
      <c r="E6" s="8" t="s">
        <v>411</v>
      </c>
    </row>
    <row r="7" customFormat="false" ht="15" hidden="false" customHeight="false" outlineLevel="0" collapsed="false">
      <c r="A7" s="8" t="s">
        <v>162</v>
      </c>
      <c r="B7" s="8" t="s">
        <v>408</v>
      </c>
      <c r="C7" s="8" t="s">
        <v>409</v>
      </c>
      <c r="D7" s="8" t="s">
        <v>410</v>
      </c>
      <c r="E7" s="8" t="s">
        <v>411</v>
      </c>
    </row>
    <row r="8" customFormat="false" ht="15" hidden="false" customHeight="false" outlineLevel="0" collapsed="false">
      <c r="A8" s="8" t="s">
        <v>174</v>
      </c>
      <c r="B8" s="8" t="s">
        <v>422</v>
      </c>
      <c r="C8" s="8" t="s">
        <v>423</v>
      </c>
      <c r="D8" s="8" t="s">
        <v>424</v>
      </c>
      <c r="E8" s="8" t="s">
        <v>418</v>
      </c>
    </row>
    <row r="9" customFormat="false" ht="15" hidden="false" customHeight="false" outlineLevel="0" collapsed="false">
      <c r="A9" s="8" t="s">
        <v>186</v>
      </c>
      <c r="B9" s="8" t="s">
        <v>422</v>
      </c>
      <c r="C9" s="8" t="s">
        <v>425</v>
      </c>
      <c r="D9" s="8" t="s">
        <v>424</v>
      </c>
      <c r="E9" s="8" t="s">
        <v>418</v>
      </c>
    </row>
    <row r="10" customFormat="false" ht="15" hidden="false" customHeight="false" outlineLevel="0" collapsed="false">
      <c r="A10" s="8" t="s">
        <v>196</v>
      </c>
      <c r="B10" s="8" t="s">
        <v>426</v>
      </c>
      <c r="C10" s="8" t="s">
        <v>427</v>
      </c>
      <c r="D10" s="8" t="s">
        <v>428</v>
      </c>
      <c r="E10" s="8" t="s">
        <v>411</v>
      </c>
    </row>
    <row r="11" customFormat="false" ht="15" hidden="false" customHeight="false" outlineLevel="0" collapsed="false">
      <c r="A11" s="8" t="s">
        <v>205</v>
      </c>
      <c r="B11" s="8" t="s">
        <v>426</v>
      </c>
      <c r="C11" s="8" t="s">
        <v>427</v>
      </c>
      <c r="D11" s="8" t="s">
        <v>428</v>
      </c>
      <c r="E11" s="8" t="s">
        <v>411</v>
      </c>
    </row>
    <row r="12" customFormat="false" ht="15" hidden="false" customHeight="false" outlineLevel="0" collapsed="false">
      <c r="A12" s="8" t="s">
        <v>208</v>
      </c>
      <c r="B12" s="8" t="s">
        <v>408</v>
      </c>
      <c r="C12" s="8" t="s">
        <v>409</v>
      </c>
      <c r="D12" s="8" t="s">
        <v>410</v>
      </c>
      <c r="E12" s="8" t="s">
        <v>411</v>
      </c>
    </row>
    <row r="13" customFormat="false" ht="15" hidden="false" customHeight="false" outlineLevel="0" collapsed="false">
      <c r="A13" s="8" t="s">
        <v>222</v>
      </c>
      <c r="B13" s="8" t="s">
        <v>422</v>
      </c>
      <c r="C13" s="8" t="s">
        <v>429</v>
      </c>
      <c r="D13" s="8" t="s">
        <v>424</v>
      </c>
      <c r="E13" s="8" t="s">
        <v>418</v>
      </c>
    </row>
    <row r="14" customFormat="false" ht="15" hidden="false" customHeight="false" outlineLevel="0" collapsed="false">
      <c r="A14" s="8" t="s">
        <v>280</v>
      </c>
      <c r="B14" s="8" t="s">
        <v>426</v>
      </c>
      <c r="C14" s="8" t="s">
        <v>427</v>
      </c>
      <c r="D14" s="8" t="s">
        <v>428</v>
      </c>
      <c r="E14" s="8" t="s">
        <v>411</v>
      </c>
    </row>
    <row r="15" customFormat="false" ht="15" hidden="false" customHeight="false" outlineLevel="0" collapsed="false">
      <c r="A15" s="8" t="s">
        <v>315</v>
      </c>
      <c r="B15" s="8" t="s">
        <v>408</v>
      </c>
      <c r="C15" s="8" t="s">
        <v>409</v>
      </c>
      <c r="D15" s="8" t="s">
        <v>410</v>
      </c>
      <c r="E15" s="8" t="s">
        <v>411</v>
      </c>
    </row>
    <row r="16" customFormat="false" ht="15" hidden="false" customHeight="false" outlineLevel="0" collapsed="false">
      <c r="A16" s="8" t="s">
        <v>318</v>
      </c>
      <c r="B16" s="8" t="s">
        <v>415</v>
      </c>
      <c r="C16" s="8" t="s">
        <v>416</v>
      </c>
      <c r="D16" s="8" t="s">
        <v>417</v>
      </c>
      <c r="E16" s="8" t="s">
        <v>418</v>
      </c>
    </row>
    <row r="17" customFormat="false" ht="15" hidden="false" customHeight="false" outlineLevel="0" collapsed="false">
      <c r="A17" s="8" t="s">
        <v>334</v>
      </c>
      <c r="B17" s="8" t="s">
        <v>426</v>
      </c>
      <c r="C17" s="8" t="s">
        <v>427</v>
      </c>
      <c r="D17" s="8" t="s">
        <v>428</v>
      </c>
      <c r="E17" s="8" t="s">
        <v>411</v>
      </c>
    </row>
    <row r="18" customFormat="false" ht="15" hidden="false" customHeight="false" outlineLevel="0" collapsed="false">
      <c r="A18" s="8" t="s">
        <v>337</v>
      </c>
      <c r="B18" s="8" t="s">
        <v>408</v>
      </c>
      <c r="C18" s="8" t="s">
        <v>409</v>
      </c>
      <c r="D18" s="8" t="s">
        <v>410</v>
      </c>
      <c r="E18" s="8" t="s">
        <v>411</v>
      </c>
    </row>
    <row r="19" customFormat="false" ht="15" hidden="false" customHeight="false" outlineLevel="0" collapsed="false">
      <c r="A19" s="8" t="s">
        <v>345</v>
      </c>
      <c r="B19" s="8" t="s">
        <v>419</v>
      </c>
      <c r="C19" s="8" t="s">
        <v>420</v>
      </c>
      <c r="D19" s="8" t="s">
        <v>421</v>
      </c>
      <c r="E19" s="8" t="s">
        <v>411</v>
      </c>
    </row>
    <row r="20" customFormat="false" ht="15" hidden="false" customHeight="false" outlineLevel="0" collapsed="false">
      <c r="A20" s="8" t="s">
        <v>371</v>
      </c>
      <c r="B20" s="8" t="s">
        <v>426</v>
      </c>
      <c r="C20" s="8" t="s">
        <v>427</v>
      </c>
      <c r="D20" s="8" t="s">
        <v>428</v>
      </c>
      <c r="E20" s="8" t="s">
        <v>411</v>
      </c>
    </row>
    <row r="21" customFormat="false" ht="15" hidden="false" customHeight="false" outlineLevel="0" collapsed="false">
      <c r="A21" s="8" t="s">
        <v>377</v>
      </c>
      <c r="B21" s="8" t="s">
        <v>412</v>
      </c>
      <c r="C21" s="8" t="s">
        <v>413</v>
      </c>
      <c r="D21" s="8" t="s">
        <v>414</v>
      </c>
      <c r="E21" s="8" t="s">
        <v>411</v>
      </c>
    </row>
    <row r="22" customFormat="false" ht="15" hidden="false" customHeight="false" outlineLevel="0" collapsed="false">
      <c r="A22" s="8" t="s">
        <v>380</v>
      </c>
      <c r="B22" s="8" t="s">
        <v>412</v>
      </c>
      <c r="C22" s="8" t="s">
        <v>413</v>
      </c>
      <c r="D22" s="8" t="s">
        <v>414</v>
      </c>
      <c r="E22" s="8" t="s">
        <v>411</v>
      </c>
    </row>
    <row r="23" customFormat="false" ht="15" hidden="false" customHeight="false" outlineLevel="0" collapsed="false">
      <c r="A23" s="8" t="s">
        <v>383</v>
      </c>
      <c r="B23" s="8" t="s">
        <v>422</v>
      </c>
      <c r="C23" s="8" t="s">
        <v>430</v>
      </c>
      <c r="D23" s="8" t="s">
        <v>424</v>
      </c>
      <c r="E23" s="8" t="s">
        <v>418</v>
      </c>
    </row>
    <row r="24" customFormat="false" ht="15" hidden="false" customHeight="false" outlineLevel="0" collapsed="false">
      <c r="A24" s="8" t="s">
        <v>393</v>
      </c>
      <c r="B24" s="8" t="s">
        <v>426</v>
      </c>
      <c r="C24" s="8" t="s">
        <v>427</v>
      </c>
      <c r="D24" s="8" t="s">
        <v>428</v>
      </c>
      <c r="E24" s="8" t="s">
        <v>411</v>
      </c>
    </row>
  </sheetData>
  <conditionalFormatting sqref="E2:E24">
    <cfRule type="cellIs" priority="2" operator="equal" aboveAverage="0" equalAverage="0" bottom="0" percent="0" rank="0" text="" dxfId="2">
      <formula>"Resolved"</formula>
    </cfRule>
    <cfRule type="cellIs" priority="3" operator="equal" aboveAverage="0" equalAverage="0" bottom="0" percent="0" rank="0" text="" dxfId="1">
      <formula>"Pending"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5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7" t="s">
        <v>431</v>
      </c>
      <c r="B1" s="7" t="s">
        <v>432</v>
      </c>
      <c r="C1" s="7" t="s">
        <v>433</v>
      </c>
      <c r="D1" s="7" t="s">
        <v>434</v>
      </c>
      <c r="E1" s="7" t="s">
        <v>435</v>
      </c>
      <c r="F1" s="7" t="s">
        <v>436</v>
      </c>
      <c r="G1" s="7" t="s">
        <v>44</v>
      </c>
      <c r="H1" s="7" t="s">
        <v>437</v>
      </c>
      <c r="I1" s="7" t="s">
        <v>438</v>
      </c>
      <c r="J1" s="7" t="s">
        <v>439</v>
      </c>
      <c r="K1" s="7" t="s">
        <v>440</v>
      </c>
    </row>
    <row r="2" customFormat="false" ht="15" hidden="false" customHeight="false" outlineLevel="0" collapsed="false">
      <c r="A2" s="8" t="s">
        <v>441</v>
      </c>
      <c r="B2" s="10" t="s">
        <v>442</v>
      </c>
      <c r="C2" s="8" t="s">
        <v>443</v>
      </c>
      <c r="D2" s="8" t="s">
        <v>444</v>
      </c>
      <c r="E2" s="8" t="s">
        <v>445</v>
      </c>
      <c r="F2" s="8" t="s">
        <v>446</v>
      </c>
      <c r="G2" s="8" t="s">
        <v>37</v>
      </c>
      <c r="H2" s="8" t="s">
        <v>447</v>
      </c>
      <c r="I2" s="10" t="s">
        <v>448</v>
      </c>
      <c r="J2" s="8" t="n">
        <f aca="false">IF(I2="","",IFERROR(I2-B2,""))</f>
        <v>1</v>
      </c>
      <c r="K2" s="8" t="str">
        <f aca="false">IF(J2="","",IF(J2&lt;=3,"Yes","No"))</f>
        <v>Yes</v>
      </c>
    </row>
    <row r="3" customFormat="false" ht="15" hidden="false" customHeight="false" outlineLevel="0" collapsed="false">
      <c r="A3" s="8" t="s">
        <v>449</v>
      </c>
      <c r="B3" s="10" t="s">
        <v>450</v>
      </c>
      <c r="C3" s="8" t="s">
        <v>451</v>
      </c>
      <c r="D3" s="8" t="s">
        <v>444</v>
      </c>
      <c r="E3" s="8" t="s">
        <v>452</v>
      </c>
      <c r="F3" s="8" t="s">
        <v>453</v>
      </c>
      <c r="G3" s="8" t="s">
        <v>37</v>
      </c>
      <c r="H3" s="8" t="s">
        <v>454</v>
      </c>
      <c r="I3" s="10" t="s">
        <v>450</v>
      </c>
      <c r="J3" s="8" t="n">
        <f aca="false">IF(I3="","",IFERROR(I3-B3,""))</f>
        <v>0</v>
      </c>
      <c r="K3" s="8" t="str">
        <f aca="false">IF(J3="","",IF(J3&lt;=3,"Yes","No"))</f>
        <v>Yes</v>
      </c>
    </row>
    <row r="4" customFormat="false" ht="15" hidden="false" customHeight="false" outlineLevel="0" collapsed="false">
      <c r="A4" s="8" t="s">
        <v>455</v>
      </c>
      <c r="B4" s="10" t="s">
        <v>456</v>
      </c>
      <c r="C4" s="8" t="s">
        <v>457</v>
      </c>
      <c r="D4" s="8" t="s">
        <v>458</v>
      </c>
      <c r="E4" s="8" t="s">
        <v>459</v>
      </c>
      <c r="F4" s="8" t="s">
        <v>453</v>
      </c>
      <c r="G4" s="8" t="s">
        <v>37</v>
      </c>
      <c r="H4" s="8" t="s">
        <v>460</v>
      </c>
      <c r="I4" s="10" t="s">
        <v>461</v>
      </c>
      <c r="J4" s="8" t="n">
        <f aca="false">IF(I4="","",IFERROR(I4-B4,""))</f>
        <v>1</v>
      </c>
      <c r="K4" s="8" t="str">
        <f aca="false">IF(J4="","",IF(J4&lt;=3,"Yes","No"))</f>
        <v>Yes</v>
      </c>
    </row>
    <row r="5" customFormat="false" ht="15" hidden="false" customHeight="false" outlineLevel="0" collapsed="false">
      <c r="A5" s="8" t="s">
        <v>462</v>
      </c>
      <c r="B5" s="10" t="s">
        <v>463</v>
      </c>
      <c r="C5" s="8" t="s">
        <v>464</v>
      </c>
      <c r="D5" s="8" t="s">
        <v>465</v>
      </c>
      <c r="E5" s="8" t="s">
        <v>466</v>
      </c>
      <c r="F5" s="8" t="s">
        <v>446</v>
      </c>
      <c r="G5" s="8" t="s">
        <v>37</v>
      </c>
      <c r="H5" s="8" t="s">
        <v>467</v>
      </c>
      <c r="I5" s="10" t="s">
        <v>468</v>
      </c>
      <c r="J5" s="8" t="n">
        <f aca="false">IF(I5="","",IFERROR(I5-B5,""))</f>
        <v>2</v>
      </c>
      <c r="K5" s="8" t="str">
        <f aca="false">IF(J5="","",IF(J5&lt;=3,"Yes","No"))</f>
        <v>Yes</v>
      </c>
    </row>
    <row r="6" customFormat="false" ht="15" hidden="false" customHeight="false" outlineLevel="0" collapsed="false">
      <c r="A6" s="8" t="s">
        <v>469</v>
      </c>
      <c r="B6" s="10" t="s">
        <v>470</v>
      </c>
      <c r="C6" s="8" t="s">
        <v>471</v>
      </c>
      <c r="D6" s="8" t="s">
        <v>472</v>
      </c>
      <c r="E6" s="8" t="s">
        <v>473</v>
      </c>
      <c r="F6" s="8" t="s">
        <v>453</v>
      </c>
      <c r="G6" s="8" t="s">
        <v>37</v>
      </c>
      <c r="H6" s="8" t="s">
        <v>474</v>
      </c>
      <c r="I6" s="10" t="s">
        <v>475</v>
      </c>
      <c r="J6" s="8" t="n">
        <f aca="false">IF(I6="","",IFERROR(I6-B6,""))</f>
        <v>2</v>
      </c>
      <c r="K6" s="8" t="str">
        <f aca="false">IF(J6="","",IF(J6&lt;=3,"Yes","No"))</f>
        <v>Yes</v>
      </c>
    </row>
    <row r="7" customFormat="false" ht="15" hidden="false" customHeight="false" outlineLevel="0" collapsed="false">
      <c r="A7" s="8" t="s">
        <v>476</v>
      </c>
      <c r="B7" s="10" t="s">
        <v>477</v>
      </c>
      <c r="C7" s="8" t="s">
        <v>478</v>
      </c>
      <c r="D7" s="8" t="s">
        <v>444</v>
      </c>
      <c r="E7" s="8" t="s">
        <v>479</v>
      </c>
      <c r="F7" s="8" t="s">
        <v>480</v>
      </c>
      <c r="G7" s="8" t="s">
        <v>37</v>
      </c>
      <c r="H7" s="8" t="s">
        <v>481</v>
      </c>
      <c r="I7" s="10" t="s">
        <v>482</v>
      </c>
      <c r="J7" s="8" t="n">
        <f aca="false">IF(I7="","",IFERROR(I7-B7,""))</f>
        <v>1</v>
      </c>
      <c r="K7" s="8" t="str">
        <f aca="false">IF(J7="","",IF(J7&lt;=3,"Yes","No"))</f>
        <v>Yes</v>
      </c>
    </row>
    <row r="8" customFormat="false" ht="15" hidden="false" customHeight="false" outlineLevel="0" collapsed="false">
      <c r="A8" s="8" t="s">
        <v>483</v>
      </c>
      <c r="B8" s="10" t="s">
        <v>484</v>
      </c>
      <c r="C8" s="8" t="s">
        <v>485</v>
      </c>
      <c r="D8" s="8" t="s">
        <v>465</v>
      </c>
      <c r="E8" s="8" t="s">
        <v>486</v>
      </c>
      <c r="F8" s="8" t="s">
        <v>480</v>
      </c>
      <c r="G8" s="8" t="s">
        <v>37</v>
      </c>
      <c r="H8" s="8" t="s">
        <v>487</v>
      </c>
      <c r="I8" s="10" t="s">
        <v>488</v>
      </c>
      <c r="J8" s="8" t="n">
        <f aca="false">IF(I8="","",IFERROR(I8-B8,""))</f>
        <v>1</v>
      </c>
      <c r="K8" s="8" t="str">
        <f aca="false">IF(J8="","",IF(J8&lt;=3,"Yes","No"))</f>
        <v>Yes</v>
      </c>
    </row>
    <row r="9" customFormat="false" ht="15" hidden="false" customHeight="false" outlineLevel="0" collapsed="false">
      <c r="A9" s="8" t="s">
        <v>489</v>
      </c>
      <c r="B9" s="10" t="s">
        <v>490</v>
      </c>
      <c r="C9" s="8" t="s">
        <v>451</v>
      </c>
      <c r="D9" s="8" t="s">
        <v>444</v>
      </c>
      <c r="E9" s="8" t="s">
        <v>491</v>
      </c>
      <c r="F9" s="8" t="s">
        <v>446</v>
      </c>
      <c r="G9" s="8" t="s">
        <v>38</v>
      </c>
      <c r="H9" s="8" t="s">
        <v>492</v>
      </c>
      <c r="I9" s="10"/>
      <c r="J9" s="8" t="str">
        <f aca="false">IF(I9="","",IFERROR(I9-B9,""))</f>
        <v/>
      </c>
      <c r="K9" s="8" t="str">
        <f aca="false">IF(J9="","",IF(J9&lt;=3,"Yes","No"))</f>
        <v/>
      </c>
    </row>
    <row r="10" customFormat="false" ht="15" hidden="false" customHeight="false" outlineLevel="0" collapsed="false">
      <c r="A10" s="8" t="s">
        <v>493</v>
      </c>
      <c r="B10" s="10" t="s">
        <v>494</v>
      </c>
      <c r="C10" s="8" t="s">
        <v>471</v>
      </c>
      <c r="D10" s="8" t="s">
        <v>495</v>
      </c>
      <c r="E10" s="8" t="s">
        <v>496</v>
      </c>
      <c r="F10" s="8" t="s">
        <v>446</v>
      </c>
      <c r="G10" s="8" t="s">
        <v>39</v>
      </c>
      <c r="H10" s="8" t="s">
        <v>497</v>
      </c>
      <c r="I10" s="10"/>
      <c r="J10" s="8" t="str">
        <f aca="false">IF(I10="","",IFERROR(I10-B10,""))</f>
        <v/>
      </c>
      <c r="K10" s="8" t="str">
        <f aca="false">IF(J10="","",IF(J10&lt;=3,"Yes","No"))</f>
        <v/>
      </c>
    </row>
    <row r="11" customFormat="false" ht="15" hidden="false" customHeight="false" outlineLevel="0" collapsed="false">
      <c r="A11" s="8" t="s">
        <v>498</v>
      </c>
      <c r="B11" s="10" t="s">
        <v>499</v>
      </c>
      <c r="C11" s="8" t="s">
        <v>500</v>
      </c>
      <c r="D11" s="8" t="s">
        <v>444</v>
      </c>
      <c r="E11" s="8" t="s">
        <v>501</v>
      </c>
      <c r="F11" s="8" t="s">
        <v>453</v>
      </c>
      <c r="G11" s="8" t="s">
        <v>37</v>
      </c>
      <c r="H11" s="8" t="s">
        <v>502</v>
      </c>
      <c r="I11" s="10" t="s">
        <v>503</v>
      </c>
      <c r="J11" s="8" t="n">
        <f aca="false">IF(I11="","",IFERROR(I11-B11,""))</f>
        <v>1</v>
      </c>
      <c r="K11" s="8" t="str">
        <f aca="false">IF(J11="","",IF(J11&lt;=3,"Yes","No"))</f>
        <v>Yes</v>
      </c>
    </row>
  </sheetData>
  <conditionalFormatting sqref="G2:G11">
    <cfRule type="cellIs" priority="2" operator="equal" aboveAverage="0" equalAverage="0" bottom="0" percent="0" rank="0" text="" dxfId="0">
      <formula>"Open"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"Closed"</formula>
    </cfRule>
  </conditionalFormatting>
  <conditionalFormatting sqref="K2:K11">
    <cfRule type="cellIs" priority="5" operator="equal" aboveAverage="0" equalAverage="0" bottom="0" percent="0" rank="0" text="" dxfId="0">
      <formula>"No"</formula>
    </cfRule>
    <cfRule type="cellIs" priority="6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2026-09-17T06:19:11Z</dcterms:created>
  <dc:creator>openpyxl</dc:creator>
  <dc:description/>
  <dc:language>en-US</dc:language>
  <cp:lastModifiedBy/>
  <dcterms:modified xsi:type="dcterms:W3CDTF">2026-09-17T06:19:23Z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